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33D0D82B-E739-496A-BD32-3B8128239B6A}" xr6:coauthVersionLast="47" xr6:coauthVersionMax="47" xr10:uidLastSave="{00000000-0000-0000-0000-000000000000}"/>
  <bookViews>
    <workbookView xWindow="-110" yWindow="-110" windowWidth="19420" windowHeight="10420" firstSheet="1" activeTab="2" xr2:uid="{19E34857-DD7D-495D-A81C-59CB5EFC07DD}"/>
  </bookViews>
  <sheets>
    <sheet name="Sheet1" sheetId="1" r:id="rId1"/>
    <sheet name="Sheet2 (3)" sheetId="5" r:id="rId2"/>
    <sheet name="Sheet2 (2)" sheetId="4" r:id="rId3"/>
    <sheet name="Sheet3" sheetId="6" r:id="rId4"/>
    <sheet name="Sheet2" sheetId="2" r:id="rId5"/>
  </sheets>
  <definedNames>
    <definedName name="ExternalData_2" localSheetId="2" hidden="1">'Sheet2 (2)'!$A$1:$I$32</definedName>
    <definedName name="ExternalData_3" localSheetId="1" hidden="1">'Sheet2 (3)'!$A$1:$G$35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4" l="1"/>
  <c r="K2" i="4" s="1"/>
  <c r="J3" i="4"/>
  <c r="K3" i="4" s="1"/>
  <c r="J4" i="4"/>
  <c r="K4" i="4" s="1"/>
  <c r="J5" i="4"/>
  <c r="K5" i="4" s="1"/>
  <c r="J6" i="4"/>
  <c r="J7" i="4"/>
  <c r="J8" i="4"/>
  <c r="J9" i="4"/>
  <c r="J10" i="4"/>
  <c r="K10" i="4" s="1"/>
  <c r="J11" i="4"/>
  <c r="K11" i="4" s="1"/>
  <c r="J12" i="4"/>
  <c r="K12" i="4" s="1"/>
  <c r="J13" i="4"/>
  <c r="K13" i="4" s="1"/>
  <c r="J14" i="4"/>
  <c r="J15" i="4"/>
  <c r="K15" i="4" s="1"/>
  <c r="J16" i="4"/>
  <c r="J17" i="4"/>
  <c r="K17" i="4" s="1"/>
  <c r="J18" i="4"/>
  <c r="K18" i="4" s="1"/>
  <c r="J19" i="4"/>
  <c r="K19" i="4" s="1"/>
  <c r="J20" i="4"/>
  <c r="K20" i="4" s="1"/>
  <c r="J21" i="4"/>
  <c r="K21" i="4" s="1"/>
  <c r="J22" i="4"/>
  <c r="J23" i="4"/>
  <c r="K23" i="4" s="1"/>
  <c r="J24" i="4"/>
  <c r="J25" i="4"/>
  <c r="J26" i="4"/>
  <c r="K26" i="4" s="1"/>
  <c r="J27" i="4"/>
  <c r="K27" i="4" s="1"/>
  <c r="J28" i="4"/>
  <c r="K28" i="4" s="1"/>
  <c r="J29" i="4"/>
  <c r="K29" i="4" s="1"/>
  <c r="J30" i="4"/>
  <c r="J31" i="4"/>
  <c r="K31" i="4" s="1"/>
  <c r="J32" i="4"/>
  <c r="K6" i="4"/>
  <c r="K7" i="4"/>
  <c r="K8" i="4"/>
  <c r="K9" i="4"/>
  <c r="K14" i="4"/>
  <c r="K16" i="4"/>
  <c r="K22" i="4"/>
  <c r="K24" i="4"/>
  <c r="K25" i="4"/>
  <c r="K30" i="4"/>
  <c r="K3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5DC64B-4132-46E0-A4FA-905CEAE92B4B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6FA8C15D-C1F6-4AE8-BEB2-0F275855CBDC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</connections>
</file>

<file path=xl/sharedStrings.xml><?xml version="1.0" encoding="utf-8"?>
<sst xmlns="http://schemas.openxmlformats.org/spreadsheetml/2006/main" count="612" uniqueCount="130">
  <si>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</si>
  <si>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</si>
  <si>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</si>
  <si>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</si>
  <si>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</si>
  <si>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</si>
  <si>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</si>
  <si>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</si>
  <si>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</si>
  <si>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</si>
  <si>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</si>
  <si>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</si>
  <si>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</si>
  <si>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</si>
  <si>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</si>
  <si>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</si>
  <si>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</si>
  <si>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</si>
  <si>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</si>
  <si>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</si>
  <si>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</si>
  <si>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</si>
  <si>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</si>
  <si>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</si>
  <si>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</si>
  <si>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</si>
  <si>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</si>
  <si>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</si>
  <si>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</si>
  <si>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</si>
  <si>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</si>
  <si>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</si>
  <si>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</si>
  <si>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</si>
  <si>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</si>
  <si>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</si>
  <si>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</si>
  <si>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</si>
  <si>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</si>
  <si>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</si>
  <si>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</si>
  <si>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</si>
  <si>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</si>
  <si>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</si>
  <si>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</si>
  <si>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</si>
  <si>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</si>
  <si>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</si>
  <si>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</si>
  <si>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</si>
  <si>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</si>
  <si>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</si>
  <si>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</si>
  <si>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</si>
  <si>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</si>
  <si>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</si>
  <si>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</si>
  <si>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</si>
  <si>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</si>
  <si>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</si>
  <si>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</si>
  <si>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</si>
  <si>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</si>
  <si>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</si>
  <si>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</si>
  <si>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</si>
  <si>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</si>
  <si>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</si>
  <si>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</si>
  <si>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</si>
  <si>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</si>
  <si>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</si>
  <si>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</si>
  <si>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</si>
  <si>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</si>
  <si>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</si>
  <si>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</si>
  <si>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</si>
  <si>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</si>
  <si>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</si>
  <si>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</si>
  <si>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</si>
  <si>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</si>
  <si>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</si>
  <si>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</si>
  <si>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</si>
  <si>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</si>
  <si>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</si>
  <si>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</si>
  <si>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</si>
  <si>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</si>
  <si>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</si>
  <si>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</si>
  <si>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</si>
  <si>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</si>
  <si>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</si>
  <si>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</si>
  <si>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Column7</t>
  </si>
  <si>
    <t>Product ID.1</t>
  </si>
  <si>
    <t>Manufacturing date</t>
  </si>
  <si>
    <t>Country code</t>
  </si>
  <si>
    <t>JAN</t>
  </si>
  <si>
    <t>US</t>
  </si>
  <si>
    <t>Unknown</t>
  </si>
  <si>
    <t>FEB</t>
  </si>
  <si>
    <t>MAR</t>
  </si>
  <si>
    <t>APR</t>
  </si>
  <si>
    <t>MAY</t>
  </si>
  <si>
    <t>JUN</t>
  </si>
  <si>
    <t>UK</t>
  </si>
  <si>
    <t>JUL</t>
  </si>
  <si>
    <t>T-Shirt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</si>
  <si>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</si>
  <si>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</si>
  <si>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</si>
  <si>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</si>
  <si>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</si>
  <si>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</si>
  <si>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</si>
  <si>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</si>
  <si>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</si>
  <si>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</si>
  <si>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</si>
  <si>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</si>
  <si>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</si>
  <si>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</si>
  <si>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</si>
  <si>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Month</t>
  </si>
  <si>
    <t xml:space="preserve">  </t>
  </si>
  <si>
    <t>DD-MM-YYYY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</si>
</sst>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12"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58F2BA2-4CA4-402B-8A43-697B9660A4CD}" autoFormatId="16" applyNumberFormats="0" applyBorderFormats="0" applyFontFormats="0" applyPatternFormats="0" applyAlignmentFormats="0" applyWidthHeightFormats="0">
  <queryTableRefresh nextId="15" unboundColumnsRight="2">
    <queryTableFields count="11">
      <queryTableField id="1" name="Product ID.1" tableColumnId="1"/>
      <queryTableField id="2" name="Manufacturing date" tableColumnId="2"/>
      <queryTableField id="3" name="Country code" tableColumnId="3"/>
      <queryTableField id="4" name="Product Name" tableColumnId="4"/>
      <queryTableField id="5" name="Brand Name" tableColumnId="5"/>
      <queryTableField id="6" name="Price ($)" tableColumnId="6"/>
      <queryTableField id="7" name="Quantity" tableColumnId="7"/>
      <queryTableField id="8" name="Category" tableColumnId="8"/>
      <queryTableField id="9" name="Column7" tableColumnId="9"/>
      <queryTableField id="12" dataBound="0" tableColumnId="12"/>
      <queryTableField id="14" dataBound="0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9EBEB0-5056-4A3C-A811-C7E1776A7DE9}" name="Sheet2__2" displayName="Sheet2__2" ref="A1:G35" totalsRowShown="0">
  <autoFilter ref="A1:G35" xr:uid="{009EBEB0-5056-4A3C-A811-C7E1776A7DE9}"/>
  <tableColumns count="7">
    <tableColumn id="1" xr3:uid="{27AF43CF-4774-4DA6-A97C-42990C301A35}" name="Product ID" dataDxfId="9"/>
    <tableColumn id="2" xr3:uid="{C762EF36-4177-4A1E-A22E-4AFD7196ADB8}" name="Product Name" dataDxfId="8"/>
    <tableColumn id="3" xr3:uid="{2DC1899D-1FD2-46BF-B0B9-24FD280B2533}" name="Brand Name" dataDxfId="7"/>
    <tableColumn id="4" xr3:uid="{5EDA1A8D-0415-4357-A212-C570FFEF945D}" name="Price ($)"/>
    <tableColumn id="5" xr3:uid="{00D0FC92-FE45-460F-BE18-5DA4C352BC3C}" name="Quantity"/>
    <tableColumn id="6" xr3:uid="{C1DC86AB-FA26-46C9-87DE-10B9B0A2CDEA}" name="Category" dataDxfId="6"/>
    <tableColumn id="7" xr3:uid="{609D42E9-C85E-413B-8399-8BAF47808037}" name="Column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7D0569-4B4B-445D-B696-04A6D118620C}" name="Sheet2" displayName="Sheet2" ref="A1:K32" tableType="queryTable" totalsRowShown="0">
  <autoFilter ref="A1:K32" xr:uid="{C67D0569-4B4B-445D-B696-04A6D118620C}"/>
  <tableColumns count="11">
    <tableColumn id="1" xr3:uid="{CCF001BF-C575-4B66-B504-038E40787653}" uniqueName="1" name="Product ID.1" queryTableFieldId="1"/>
    <tableColumn id="2" xr3:uid="{95C4EF68-DFCF-485A-8AAC-FBCAFFD5CB16}" uniqueName="2" name="Manufacturing date" queryTableFieldId="2" dataDxfId="5"/>
    <tableColumn id="3" xr3:uid="{5911D1EA-57FB-4F7A-9FB2-B331B58898DA}" uniqueName="3" name="Country code" queryTableFieldId="3" dataDxfId="4"/>
    <tableColumn id="4" xr3:uid="{897BC884-0DD6-469C-9D07-02D9B6E41C12}" uniqueName="4" name="Product Name" queryTableFieldId="4" dataDxfId="3"/>
    <tableColumn id="5" xr3:uid="{DA5ED71E-E2EC-4DF8-B719-3E1DD45FE46C}" uniqueName="5" name="Brand Name" queryTableFieldId="5" dataDxfId="2"/>
    <tableColumn id="6" xr3:uid="{51447DE5-B14F-424B-A970-EF95597FEA67}" uniqueName="6" name="Price ($)" queryTableFieldId="6"/>
    <tableColumn id="7" xr3:uid="{F7BCB6FD-BBEC-4879-B7A3-35584DA56867}" uniqueName="7" name="Quantity" queryTableFieldId="7"/>
    <tableColumn id="8" xr3:uid="{A7DF553B-17E6-4022-9C80-AE2CC92AB108}" uniqueName="8" name="Category" queryTableFieldId="8" dataDxfId="1"/>
    <tableColumn id="9" xr3:uid="{CDB536AE-0491-43F2-9F98-05CCC2BCBCA9}" uniqueName="9" name="Column7" queryTableFieldId="9"/>
    <tableColumn id="12" xr3:uid="{07922902-AF5D-4920-8C90-CCB01FB0450E}" uniqueName="12" name="Month" queryTableFieldId="12" dataDxfId="11">
      <calculatedColumnFormula>Sheet2[[#This Row],[Product ID.1]]&amp;"-"&amp;Sheet2[[#This Row],[Manufacturing date]]</calculatedColumnFormula>
    </tableColumn>
    <tableColumn id="14" xr3:uid="{5529F027-6C6D-40CD-BF70-15B0DFE24E5B}" uniqueName="14" name="DD-MM-YYYY" queryTableFieldId="14" dataDxfId="10">
      <calculatedColumnFormula>Sheet2[[#This Row],[Month]]&amp;"-"&amp;"2016"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5213-6BEB-42D2-9A33-944D69D21B36}">
  <dimension ref="A1:G35"/>
  <sheetViews>
    <sheetView workbookViewId="0">
      <selection sqref="A1:G35"/>
    </sheetView>
  </sheetViews>
  <sheetFormatPr defaultRowHeight="14.5" x14ac:dyDescent="0.35"/>
  <sheetData>
    <row r="1" spans="1:7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26.5" thickBot="1" x14ac:dyDescent="0.4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s="2"/>
    </row>
    <row r="3" spans="1:7" ht="26.5" thickBot="1" x14ac:dyDescent="0.4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s="2"/>
    </row>
    <row r="4" spans="1:7" ht="26.5" thickBot="1" x14ac:dyDescent="0.4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s="2"/>
    </row>
    <row r="5" spans="1:7" ht="26.5" thickBot="1" x14ac:dyDescent="0.4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s="2"/>
    </row>
    <row r="6" spans="1:7" ht="26.5" thickBot="1" x14ac:dyDescent="0.4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/>
      <c r="G6" s="2"/>
    </row>
    <row r="7" spans="1:7" ht="26.5" thickBot="1" x14ac:dyDescent="0.4">
      <c r="A7" s="4" t="s">
        <v>24</v>
      </c>
      <c r="B7" s="4" t="s">
        <v>25</v>
      </c>
      <c r="C7" s="4" t="s">
        <v>26</v>
      </c>
      <c r="D7" s="4"/>
      <c r="E7" s="5">
        <v>45</v>
      </c>
      <c r="F7" s="4" t="s">
        <v>27</v>
      </c>
      <c r="G7" s="2"/>
    </row>
    <row r="8" spans="1:7" ht="26.5" thickBot="1" x14ac:dyDescent="0.4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s="2"/>
    </row>
    <row r="9" spans="1:7" ht="26.5" thickBot="1" x14ac:dyDescent="0.4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s="2"/>
    </row>
    <row r="10" spans="1:7" ht="26.5" thickBot="1" x14ac:dyDescent="0.4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s="2"/>
    </row>
    <row r="11" spans="1:7" ht="26.5" thickBot="1" x14ac:dyDescent="0.4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40</v>
      </c>
      <c r="G11" s="2"/>
    </row>
    <row r="12" spans="1:7" ht="26.5" thickBot="1" x14ac:dyDescent="0.4">
      <c r="A12" s="2" t="s">
        <v>41</v>
      </c>
      <c r="B12" s="2" t="s">
        <v>42</v>
      </c>
      <c r="C12" s="2" t="s">
        <v>43</v>
      </c>
      <c r="D12" s="3">
        <v>950</v>
      </c>
      <c r="E12" s="3">
        <v>25</v>
      </c>
      <c r="F12" s="2" t="s">
        <v>9</v>
      </c>
      <c r="G12" s="2"/>
    </row>
    <row r="13" spans="1:7" ht="26.5" thickBot="1" x14ac:dyDescent="0.4">
      <c r="A13" s="4" t="s">
        <v>44</v>
      </c>
      <c r="B13" s="4" t="s">
        <v>11</v>
      </c>
      <c r="C13" s="4" t="s">
        <v>30</v>
      </c>
      <c r="D13" s="5">
        <v>90</v>
      </c>
      <c r="E13" s="5">
        <v>40</v>
      </c>
      <c r="F13" s="4"/>
      <c r="G13" s="2"/>
    </row>
    <row r="14" spans="1:7" ht="26.5" thickBot="1" x14ac:dyDescent="0.4">
      <c r="A14" s="2" t="s">
        <v>45</v>
      </c>
      <c r="B14" s="2" t="s">
        <v>15</v>
      </c>
      <c r="C14" s="2" t="s">
        <v>46</v>
      </c>
      <c r="D14" s="3">
        <v>120</v>
      </c>
      <c r="E14" s="3">
        <v>35</v>
      </c>
      <c r="F14" s="2"/>
      <c r="G14" s="2"/>
    </row>
    <row r="15" spans="1:7" ht="26.5" thickBot="1" x14ac:dyDescent="0.4">
      <c r="A15" s="4" t="s">
        <v>47</v>
      </c>
      <c r="B15" s="4" t="s">
        <v>48</v>
      </c>
      <c r="C15" s="4" t="s">
        <v>49</v>
      </c>
      <c r="D15" s="5">
        <v>150</v>
      </c>
      <c r="E15" s="5">
        <v>15</v>
      </c>
      <c r="F15" s="4" t="s">
        <v>27</v>
      </c>
      <c r="G15" s="2"/>
    </row>
    <row r="16" spans="1:7" ht="26.5" thickBot="1" x14ac:dyDescent="0.4">
      <c r="A16" s="2" t="s">
        <v>50</v>
      </c>
      <c r="B16" s="2" t="s">
        <v>51</v>
      </c>
      <c r="C16" s="2" t="s">
        <v>52</v>
      </c>
      <c r="D16" s="3">
        <v>250</v>
      </c>
      <c r="E16" s="3">
        <v>20</v>
      </c>
      <c r="F16" s="2" t="s">
        <v>27</v>
      </c>
      <c r="G16" s="2"/>
    </row>
    <row r="17" spans="1:7" ht="26.5" thickBot="1" x14ac:dyDescent="0.4">
      <c r="A17" s="4" t="s">
        <v>53</v>
      </c>
      <c r="B17" s="4" t="s">
        <v>54</v>
      </c>
      <c r="C17" s="4" t="s">
        <v>55</v>
      </c>
      <c r="D17" s="5">
        <v>50</v>
      </c>
      <c r="E17" s="5">
        <v>35</v>
      </c>
      <c r="F17" s="4" t="s">
        <v>56</v>
      </c>
      <c r="G17" s="2"/>
    </row>
    <row r="18" spans="1:7" ht="26.5" thickBot="1" x14ac:dyDescent="0.4">
      <c r="A18" s="2" t="s">
        <v>57</v>
      </c>
      <c r="B18" s="2" t="s">
        <v>48</v>
      </c>
      <c r="C18" s="2" t="s">
        <v>58</v>
      </c>
      <c r="D18" s="3">
        <v>160</v>
      </c>
      <c r="E18" s="3">
        <v>15</v>
      </c>
      <c r="F18" s="2" t="s">
        <v>27</v>
      </c>
      <c r="G18" s="2"/>
    </row>
    <row r="19" spans="1:7" ht="26.5" thickBot="1" x14ac:dyDescent="0.4">
      <c r="A19" s="4" t="s">
        <v>59</v>
      </c>
      <c r="B19" s="4" t="s">
        <v>7</v>
      </c>
      <c r="C19" s="4" t="s">
        <v>60</v>
      </c>
      <c r="D19" s="5">
        <v>980</v>
      </c>
      <c r="E19" s="5">
        <v>10</v>
      </c>
      <c r="F19" s="4" t="s">
        <v>9</v>
      </c>
      <c r="G19" s="2"/>
    </row>
    <row r="20" spans="1:7" ht="26.5" thickBot="1" x14ac:dyDescent="0.4">
      <c r="A20" s="2" t="s">
        <v>61</v>
      </c>
      <c r="B20" s="2" t="s">
        <v>62</v>
      </c>
      <c r="C20" s="2" t="s">
        <v>63</v>
      </c>
      <c r="D20" s="3">
        <v>150</v>
      </c>
      <c r="E20" s="3">
        <v>15</v>
      </c>
      <c r="F20" s="2" t="s">
        <v>13</v>
      </c>
      <c r="G20" s="2"/>
    </row>
    <row r="21" spans="1:7" ht="26.5" thickBot="1" x14ac:dyDescent="0.4">
      <c r="A21" s="4" t="s">
        <v>64</v>
      </c>
      <c r="B21" s="4" t="s">
        <v>65</v>
      </c>
      <c r="C21" s="4" t="s">
        <v>66</v>
      </c>
      <c r="D21" s="4"/>
      <c r="E21" s="5">
        <v>10</v>
      </c>
      <c r="F21" s="4" t="s">
        <v>40</v>
      </c>
      <c r="G21" s="2"/>
    </row>
    <row r="22" spans="1:7" ht="26.5" thickBot="1" x14ac:dyDescent="0.4">
      <c r="A22" s="2" t="s">
        <v>67</v>
      </c>
      <c r="B22" s="2" t="s">
        <v>68</v>
      </c>
      <c r="C22" s="2" t="s">
        <v>69</v>
      </c>
      <c r="D22" s="3">
        <v>700</v>
      </c>
      <c r="E22" s="3">
        <v>50</v>
      </c>
      <c r="F22" s="2" t="s">
        <v>9</v>
      </c>
      <c r="G22" s="2"/>
    </row>
    <row r="23" spans="1:7" ht="26.5" thickBot="1" x14ac:dyDescent="0.4">
      <c r="A23" s="4" t="s">
        <v>70</v>
      </c>
      <c r="B23" s="4" t="s">
        <v>71</v>
      </c>
      <c r="C23" s="4" t="s">
        <v>72</v>
      </c>
      <c r="D23" s="5">
        <v>80</v>
      </c>
      <c r="E23" s="5">
        <v>20</v>
      </c>
      <c r="F23" s="4" t="s">
        <v>17</v>
      </c>
      <c r="G23" s="2"/>
    </row>
    <row r="24" spans="1:7" ht="26.5" thickBot="1" x14ac:dyDescent="0.4">
      <c r="A24" s="2" t="s">
        <v>73</v>
      </c>
      <c r="B24" s="2" t="s">
        <v>74</v>
      </c>
      <c r="C24" s="2" t="s">
        <v>75</v>
      </c>
      <c r="D24" s="3">
        <v>150</v>
      </c>
      <c r="E24" s="3">
        <v>30</v>
      </c>
      <c r="F24" s="2"/>
      <c r="G24" s="2"/>
    </row>
    <row r="25" spans="1:7" ht="26.5" thickBot="1" x14ac:dyDescent="0.4">
      <c r="A25" s="4" t="s">
        <v>53</v>
      </c>
      <c r="B25" s="4" t="s">
        <v>54</v>
      </c>
      <c r="C25" s="4" t="s">
        <v>55</v>
      </c>
      <c r="D25" s="5">
        <v>50</v>
      </c>
      <c r="E25" s="5">
        <v>35</v>
      </c>
      <c r="F25" s="4" t="s">
        <v>56</v>
      </c>
      <c r="G25" s="2"/>
    </row>
    <row r="26" spans="1:7" ht="26.5" thickBot="1" x14ac:dyDescent="0.4">
      <c r="A26" s="2" t="s">
        <v>76</v>
      </c>
      <c r="B26" s="2" t="s">
        <v>77</v>
      </c>
      <c r="C26" s="2" t="s">
        <v>78</v>
      </c>
      <c r="D26" s="3">
        <v>800</v>
      </c>
      <c r="E26" s="3">
        <v>45</v>
      </c>
      <c r="F26" s="2" t="s">
        <v>9</v>
      </c>
      <c r="G26" s="2"/>
    </row>
    <row r="27" spans="1:7" ht="26.5" thickBot="1" x14ac:dyDescent="0.4">
      <c r="A27" s="4" t="s">
        <v>79</v>
      </c>
      <c r="B27" s="4" t="s">
        <v>62</v>
      </c>
      <c r="C27" s="4" t="s">
        <v>80</v>
      </c>
      <c r="D27" s="4"/>
      <c r="E27" s="5">
        <v>25</v>
      </c>
      <c r="F27" s="4" t="s">
        <v>13</v>
      </c>
      <c r="G27" s="2"/>
    </row>
    <row r="28" spans="1:7" ht="26.5" thickBot="1" x14ac:dyDescent="0.4">
      <c r="A28" s="2" t="s">
        <v>81</v>
      </c>
      <c r="B28" s="2" t="s">
        <v>32</v>
      </c>
      <c r="C28" s="2" t="s">
        <v>82</v>
      </c>
      <c r="D28" s="3">
        <v>400</v>
      </c>
      <c r="E28" s="3">
        <v>40</v>
      </c>
      <c r="F28" s="2" t="s">
        <v>17</v>
      </c>
      <c r="G28" s="2"/>
    </row>
    <row r="29" spans="1:7" ht="26.5" thickBot="1" x14ac:dyDescent="0.4">
      <c r="A29" s="4" t="s">
        <v>50</v>
      </c>
      <c r="B29" s="4" t="s">
        <v>51</v>
      </c>
      <c r="C29" s="4" t="s">
        <v>52</v>
      </c>
      <c r="D29" s="5">
        <v>250</v>
      </c>
      <c r="E29" s="5">
        <v>20</v>
      </c>
      <c r="F29" s="4" t="s">
        <v>27</v>
      </c>
      <c r="G29" s="2"/>
    </row>
    <row r="30" spans="1:7" ht="26.5" thickBot="1" x14ac:dyDescent="0.4">
      <c r="A30" s="2" t="s">
        <v>83</v>
      </c>
      <c r="B30" s="2" t="s">
        <v>84</v>
      </c>
      <c r="C30" s="2" t="s">
        <v>85</v>
      </c>
      <c r="D30" s="3">
        <v>60</v>
      </c>
      <c r="E30" s="3">
        <v>30</v>
      </c>
      <c r="F30" s="2" t="s">
        <v>13</v>
      </c>
      <c r="G30" s="2"/>
    </row>
    <row r="31" spans="1:7" ht="26.5" thickBot="1" x14ac:dyDescent="0.4">
      <c r="A31" s="4" t="s">
        <v>86</v>
      </c>
      <c r="B31" s="4" t="s">
        <v>87</v>
      </c>
      <c r="C31" s="4" t="s">
        <v>88</v>
      </c>
      <c r="D31" s="5">
        <v>40</v>
      </c>
      <c r="E31" s="5">
        <v>10</v>
      </c>
      <c r="F31" s="4" t="s">
        <v>17</v>
      </c>
      <c r="G31" s="2"/>
    </row>
    <row r="32" spans="1:7" ht="26.5" thickBot="1" x14ac:dyDescent="0.4">
      <c r="A32" s="2" t="s">
        <v>89</v>
      </c>
      <c r="B32" s="2" t="s">
        <v>74</v>
      </c>
      <c r="C32" s="2" t="s">
        <v>90</v>
      </c>
      <c r="D32" s="3">
        <v>130</v>
      </c>
      <c r="E32" s="3">
        <v>5</v>
      </c>
      <c r="F32" s="2" t="s">
        <v>9</v>
      </c>
      <c r="G32" s="2"/>
    </row>
    <row r="33" spans="1:7" ht="26.5" thickBot="1" x14ac:dyDescent="0.4">
      <c r="A33" s="4" t="s">
        <v>91</v>
      </c>
      <c r="B33" s="4" t="s">
        <v>92</v>
      </c>
      <c r="C33" s="4" t="s">
        <v>93</v>
      </c>
      <c r="D33" s="5">
        <v>50</v>
      </c>
      <c r="E33" s="5">
        <v>50</v>
      </c>
      <c r="F33" s="4" t="s">
        <v>13</v>
      </c>
      <c r="G33" s="2"/>
    </row>
    <row r="34" spans="1:7" ht="26.5" thickBot="1" x14ac:dyDescent="0.4">
      <c r="A34" s="2" t="s">
        <v>41</v>
      </c>
      <c r="B34" s="2" t="s">
        <v>42</v>
      </c>
      <c r="C34" s="2" t="s">
        <v>43</v>
      </c>
      <c r="D34" s="3">
        <v>950</v>
      </c>
      <c r="E34" s="3">
        <v>25</v>
      </c>
      <c r="F34" s="2" t="s">
        <v>9</v>
      </c>
      <c r="G34" s="2"/>
    </row>
    <row r="35" spans="1:7" ht="26.5" thickBot="1" x14ac:dyDescent="0.4">
      <c r="A35" s="4" t="s">
        <v>94</v>
      </c>
      <c r="B35" s="4" t="s">
        <v>95</v>
      </c>
      <c r="C35" s="4" t="s">
        <v>96</v>
      </c>
      <c r="D35" s="5">
        <v>100</v>
      </c>
      <c r="E35" s="5">
        <v>20</v>
      </c>
      <c r="F35" s="4" t="s">
        <v>56</v>
      </c>
      <c r="G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89F5-BD73-4823-A279-0F5702C3FCB6}">
  <dimension ref="A1:G35"/>
  <sheetViews>
    <sheetView workbookViewId="0"/>
  </sheetViews>
  <sheetFormatPr defaultRowHeight="14.5" x14ac:dyDescent="0.35"/>
  <cols>
    <col min="1" max="1" width="12" bestFit="1" customWidth="1"/>
    <col min="2" max="2" width="15.1796875" bestFit="1" customWidth="1"/>
    <col min="3" max="3" width="13.453125" bestFit="1" customWidth="1"/>
    <col min="4" max="4" width="9.90625" bestFit="1" customWidth="1"/>
    <col min="5" max="5" width="10.453125" bestFit="1" customWidth="1"/>
    <col min="6" max="7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</v>
      </c>
    </row>
    <row r="2" spans="1:7" x14ac:dyDescent="0.35">
      <c r="A2" s="6" t="s">
        <v>6</v>
      </c>
      <c r="B2" s="6" t="s">
        <v>7</v>
      </c>
      <c r="C2" s="6" t="s">
        <v>8</v>
      </c>
      <c r="D2">
        <v>1000</v>
      </c>
      <c r="E2">
        <v>30</v>
      </c>
      <c r="F2" s="6" t="s">
        <v>9</v>
      </c>
    </row>
    <row r="3" spans="1:7" x14ac:dyDescent="0.35">
      <c r="A3" s="6" t="s">
        <v>10</v>
      </c>
      <c r="B3" s="6" t="s">
        <v>11</v>
      </c>
      <c r="C3" s="6" t="s">
        <v>12</v>
      </c>
      <c r="D3">
        <v>80</v>
      </c>
      <c r="E3">
        <v>15</v>
      </c>
      <c r="F3" s="6" t="s">
        <v>13</v>
      </c>
    </row>
    <row r="4" spans="1:7" x14ac:dyDescent="0.35">
      <c r="A4" s="6" t="s">
        <v>14</v>
      </c>
      <c r="B4" s="6" t="s">
        <v>15</v>
      </c>
      <c r="C4" s="6" t="s">
        <v>16</v>
      </c>
      <c r="D4">
        <v>130</v>
      </c>
      <c r="E4">
        <v>40</v>
      </c>
      <c r="F4" s="6" t="s">
        <v>17</v>
      </c>
    </row>
    <row r="5" spans="1:7" x14ac:dyDescent="0.35">
      <c r="A5" s="6" t="s">
        <v>18</v>
      </c>
      <c r="B5" s="6" t="s">
        <v>19</v>
      </c>
      <c r="C5" s="6" t="s">
        <v>20</v>
      </c>
      <c r="D5">
        <v>900</v>
      </c>
      <c r="E5">
        <v>25</v>
      </c>
      <c r="F5" s="6" t="s">
        <v>9</v>
      </c>
    </row>
    <row r="6" spans="1:7" x14ac:dyDescent="0.35">
      <c r="A6" s="6" t="s">
        <v>21</v>
      </c>
      <c r="B6" s="6" t="s">
        <v>22</v>
      </c>
      <c r="C6" s="6" t="s">
        <v>23</v>
      </c>
      <c r="D6">
        <v>70</v>
      </c>
      <c r="E6">
        <v>20</v>
      </c>
      <c r="F6" s="6"/>
    </row>
    <row r="7" spans="1:7" x14ac:dyDescent="0.35">
      <c r="A7" s="6" t="s">
        <v>24</v>
      </c>
      <c r="B7" s="6" t="s">
        <v>25</v>
      </c>
      <c r="C7" s="6" t="s">
        <v>26</v>
      </c>
      <c r="E7">
        <v>45</v>
      </c>
      <c r="F7" s="6" t="s">
        <v>27</v>
      </c>
    </row>
    <row r="8" spans="1:7" x14ac:dyDescent="0.35">
      <c r="A8" s="6" t="s">
        <v>28</v>
      </c>
      <c r="B8" s="6" t="s">
        <v>29</v>
      </c>
      <c r="C8" s="6" t="s">
        <v>30</v>
      </c>
      <c r="D8">
        <v>30</v>
      </c>
      <c r="E8">
        <v>5</v>
      </c>
      <c r="F8" s="6" t="s">
        <v>13</v>
      </c>
    </row>
    <row r="9" spans="1:7" x14ac:dyDescent="0.35">
      <c r="A9" s="6" t="s">
        <v>31</v>
      </c>
      <c r="B9" s="6" t="s">
        <v>32</v>
      </c>
      <c r="C9" s="6" t="s">
        <v>33</v>
      </c>
      <c r="D9">
        <v>90</v>
      </c>
      <c r="E9">
        <v>35</v>
      </c>
      <c r="F9" s="6" t="s">
        <v>17</v>
      </c>
    </row>
    <row r="10" spans="1:7" x14ac:dyDescent="0.35">
      <c r="A10" s="6" t="s">
        <v>34</v>
      </c>
      <c r="B10" s="6" t="s">
        <v>35</v>
      </c>
      <c r="C10" s="6" t="s">
        <v>36</v>
      </c>
      <c r="D10">
        <v>500</v>
      </c>
      <c r="E10">
        <v>50</v>
      </c>
      <c r="F10" s="6" t="s">
        <v>9</v>
      </c>
    </row>
    <row r="11" spans="1:7" x14ac:dyDescent="0.35">
      <c r="A11" s="6" t="s">
        <v>37</v>
      </c>
      <c r="B11" s="6" t="s">
        <v>38</v>
      </c>
      <c r="C11" s="6" t="s">
        <v>39</v>
      </c>
      <c r="D11">
        <v>130</v>
      </c>
      <c r="E11">
        <v>10</v>
      </c>
      <c r="F11" s="6" t="s">
        <v>40</v>
      </c>
    </row>
    <row r="12" spans="1:7" x14ac:dyDescent="0.35">
      <c r="A12" s="6" t="s">
        <v>41</v>
      </c>
      <c r="B12" s="6" t="s">
        <v>42</v>
      </c>
      <c r="C12" s="6" t="s">
        <v>43</v>
      </c>
      <c r="D12">
        <v>950</v>
      </c>
      <c r="E12">
        <v>25</v>
      </c>
      <c r="F12" s="6" t="s">
        <v>9</v>
      </c>
    </row>
    <row r="13" spans="1:7" x14ac:dyDescent="0.35">
      <c r="A13" s="6" t="s">
        <v>44</v>
      </c>
      <c r="B13" s="6" t="s">
        <v>11</v>
      </c>
      <c r="C13" s="6" t="s">
        <v>30</v>
      </c>
      <c r="D13">
        <v>90</v>
      </c>
      <c r="E13">
        <v>40</v>
      </c>
      <c r="F13" s="6"/>
    </row>
    <row r="14" spans="1:7" x14ac:dyDescent="0.35">
      <c r="A14" s="6" t="s">
        <v>45</v>
      </c>
      <c r="B14" s="6" t="s">
        <v>15</v>
      </c>
      <c r="C14" s="6" t="s">
        <v>46</v>
      </c>
      <c r="D14">
        <v>120</v>
      </c>
      <c r="E14">
        <v>35</v>
      </c>
      <c r="F14" s="6"/>
    </row>
    <row r="15" spans="1:7" x14ac:dyDescent="0.35">
      <c r="A15" s="6" t="s">
        <v>47</v>
      </c>
      <c r="B15" s="6" t="s">
        <v>48</v>
      </c>
      <c r="C15" s="6" t="s">
        <v>49</v>
      </c>
      <c r="D15">
        <v>150</v>
      </c>
      <c r="E15">
        <v>15</v>
      </c>
      <c r="F15" s="6" t="s">
        <v>27</v>
      </c>
    </row>
    <row r="16" spans="1:7" x14ac:dyDescent="0.35">
      <c r="A16" s="6" t="s">
        <v>50</v>
      </c>
      <c r="B16" s="6" t="s">
        <v>51</v>
      </c>
      <c r="C16" s="6" t="s">
        <v>52</v>
      </c>
      <c r="D16">
        <v>250</v>
      </c>
      <c r="E16">
        <v>20</v>
      </c>
      <c r="F16" s="6" t="s">
        <v>27</v>
      </c>
    </row>
    <row r="17" spans="1:6" x14ac:dyDescent="0.35">
      <c r="A17" s="6" t="s">
        <v>53</v>
      </c>
      <c r="B17" s="6" t="s">
        <v>54</v>
      </c>
      <c r="C17" s="6" t="s">
        <v>55</v>
      </c>
      <c r="D17">
        <v>50</v>
      </c>
      <c r="E17">
        <v>35</v>
      </c>
      <c r="F17" s="6" t="s">
        <v>56</v>
      </c>
    </row>
    <row r="18" spans="1:6" x14ac:dyDescent="0.35">
      <c r="A18" s="6" t="s">
        <v>57</v>
      </c>
      <c r="B18" s="6" t="s">
        <v>48</v>
      </c>
      <c r="C18" s="6" t="s">
        <v>58</v>
      </c>
      <c r="D18">
        <v>160</v>
      </c>
      <c r="E18">
        <v>15</v>
      </c>
      <c r="F18" s="6" t="s">
        <v>27</v>
      </c>
    </row>
    <row r="19" spans="1:6" x14ac:dyDescent="0.35">
      <c r="A19" s="6" t="s">
        <v>59</v>
      </c>
      <c r="B19" s="6" t="s">
        <v>7</v>
      </c>
      <c r="C19" s="6" t="s">
        <v>60</v>
      </c>
      <c r="D19">
        <v>980</v>
      </c>
      <c r="E19">
        <v>10</v>
      </c>
      <c r="F19" s="6" t="s">
        <v>9</v>
      </c>
    </row>
    <row r="20" spans="1:6" x14ac:dyDescent="0.35">
      <c r="A20" s="6" t="s">
        <v>61</v>
      </c>
      <c r="B20" s="6" t="s">
        <v>62</v>
      </c>
      <c r="C20" s="6" t="s">
        <v>63</v>
      </c>
      <c r="D20">
        <v>150</v>
      </c>
      <c r="E20">
        <v>15</v>
      </c>
      <c r="F20" s="6" t="s">
        <v>13</v>
      </c>
    </row>
    <row r="21" spans="1:6" x14ac:dyDescent="0.35">
      <c r="A21" s="6" t="s">
        <v>64</v>
      </c>
      <c r="B21" s="6" t="s">
        <v>65</v>
      </c>
      <c r="C21" s="6" t="s">
        <v>66</v>
      </c>
      <c r="E21">
        <v>10</v>
      </c>
      <c r="F21" s="6" t="s">
        <v>40</v>
      </c>
    </row>
    <row r="22" spans="1:6" x14ac:dyDescent="0.35">
      <c r="A22" s="6" t="s">
        <v>67</v>
      </c>
      <c r="B22" s="6" t="s">
        <v>68</v>
      </c>
      <c r="C22" s="6" t="s">
        <v>69</v>
      </c>
      <c r="D22">
        <v>700</v>
      </c>
      <c r="E22">
        <v>50</v>
      </c>
      <c r="F22" s="6" t="s">
        <v>9</v>
      </c>
    </row>
    <row r="23" spans="1:6" x14ac:dyDescent="0.35">
      <c r="A23" s="6" t="s">
        <v>70</v>
      </c>
      <c r="B23" s="6" t="s">
        <v>71</v>
      </c>
      <c r="C23" s="6" t="s">
        <v>72</v>
      </c>
      <c r="D23">
        <v>80</v>
      </c>
      <c r="E23">
        <v>20</v>
      </c>
      <c r="F23" s="6" t="s">
        <v>17</v>
      </c>
    </row>
    <row r="24" spans="1:6" x14ac:dyDescent="0.35">
      <c r="A24" s="6" t="s">
        <v>73</v>
      </c>
      <c r="B24" s="6" t="s">
        <v>74</v>
      </c>
      <c r="C24" s="6" t="s">
        <v>75</v>
      </c>
      <c r="D24">
        <v>150</v>
      </c>
      <c r="E24">
        <v>30</v>
      </c>
      <c r="F24" s="6"/>
    </row>
    <row r="25" spans="1:6" x14ac:dyDescent="0.35">
      <c r="A25" s="6" t="s">
        <v>53</v>
      </c>
      <c r="B25" s="6" t="s">
        <v>54</v>
      </c>
      <c r="C25" s="6" t="s">
        <v>55</v>
      </c>
      <c r="D25">
        <v>50</v>
      </c>
      <c r="E25">
        <v>35</v>
      </c>
      <c r="F25" s="6" t="s">
        <v>56</v>
      </c>
    </row>
    <row r="26" spans="1:6" x14ac:dyDescent="0.35">
      <c r="A26" s="6" t="s">
        <v>76</v>
      </c>
      <c r="B26" s="6" t="s">
        <v>77</v>
      </c>
      <c r="C26" s="6" t="s">
        <v>78</v>
      </c>
      <c r="D26">
        <v>800</v>
      </c>
      <c r="E26">
        <v>45</v>
      </c>
      <c r="F26" s="6" t="s">
        <v>9</v>
      </c>
    </row>
    <row r="27" spans="1:6" x14ac:dyDescent="0.35">
      <c r="A27" s="6" t="s">
        <v>79</v>
      </c>
      <c r="B27" s="6" t="s">
        <v>62</v>
      </c>
      <c r="C27" s="6" t="s">
        <v>80</v>
      </c>
      <c r="E27">
        <v>25</v>
      </c>
      <c r="F27" s="6" t="s">
        <v>13</v>
      </c>
    </row>
    <row r="28" spans="1:6" x14ac:dyDescent="0.35">
      <c r="A28" s="6" t="s">
        <v>81</v>
      </c>
      <c r="B28" s="6" t="s">
        <v>32</v>
      </c>
      <c r="C28" s="6" t="s">
        <v>82</v>
      </c>
      <c r="D28">
        <v>400</v>
      </c>
      <c r="E28">
        <v>40</v>
      </c>
      <c r="F28" s="6" t="s">
        <v>17</v>
      </c>
    </row>
    <row r="29" spans="1:6" x14ac:dyDescent="0.35">
      <c r="A29" s="6" t="s">
        <v>50</v>
      </c>
      <c r="B29" s="6" t="s">
        <v>51</v>
      </c>
      <c r="C29" s="6" t="s">
        <v>52</v>
      </c>
      <c r="D29">
        <v>250</v>
      </c>
      <c r="E29">
        <v>20</v>
      </c>
      <c r="F29" s="6" t="s">
        <v>27</v>
      </c>
    </row>
    <row r="30" spans="1:6" x14ac:dyDescent="0.35">
      <c r="A30" s="6" t="s">
        <v>83</v>
      </c>
      <c r="B30" s="6" t="s">
        <v>84</v>
      </c>
      <c r="C30" s="6" t="s">
        <v>85</v>
      </c>
      <c r="D30">
        <v>60</v>
      </c>
      <c r="E30">
        <v>30</v>
      </c>
      <c r="F30" s="6" t="s">
        <v>13</v>
      </c>
    </row>
    <row r="31" spans="1:6" x14ac:dyDescent="0.35">
      <c r="A31" s="6" t="s">
        <v>86</v>
      </c>
      <c r="B31" s="6" t="s">
        <v>87</v>
      </c>
      <c r="C31" s="6" t="s">
        <v>88</v>
      </c>
      <c r="D31">
        <v>40</v>
      </c>
      <c r="E31">
        <v>10</v>
      </c>
      <c r="F31" s="6" t="s">
        <v>17</v>
      </c>
    </row>
    <row r="32" spans="1:6" x14ac:dyDescent="0.35">
      <c r="A32" s="6" t="s">
        <v>89</v>
      </c>
      <c r="B32" s="6" t="s">
        <v>74</v>
      </c>
      <c r="C32" s="6" t="s">
        <v>90</v>
      </c>
      <c r="D32">
        <v>130</v>
      </c>
      <c r="E32">
        <v>5</v>
      </c>
      <c r="F32" s="6" t="s">
        <v>9</v>
      </c>
    </row>
    <row r="33" spans="1:6" x14ac:dyDescent="0.35">
      <c r="A33" s="6" t="s">
        <v>91</v>
      </c>
      <c r="B33" s="6" t="s">
        <v>92</v>
      </c>
      <c r="C33" s="6" t="s">
        <v>93</v>
      </c>
      <c r="D33">
        <v>50</v>
      </c>
      <c r="E33">
        <v>50</v>
      </c>
      <c r="F33" s="6" t="s">
        <v>13</v>
      </c>
    </row>
    <row r="34" spans="1:6" x14ac:dyDescent="0.35">
      <c r="A34" s="6" t="s">
        <v>41</v>
      </c>
      <c r="B34" s="6" t="s">
        <v>42</v>
      </c>
      <c r="C34" s="6" t="s">
        <v>43</v>
      </c>
      <c r="D34">
        <v>950</v>
      </c>
      <c r="E34">
        <v>25</v>
      </c>
      <c r="F34" s="6" t="s">
        <v>9</v>
      </c>
    </row>
    <row r="35" spans="1:6" x14ac:dyDescent="0.35">
      <c r="A35" s="6" t="s">
        <v>94</v>
      </c>
      <c r="B35" s="6" t="s">
        <v>95</v>
      </c>
      <c r="C35" s="6" t="s">
        <v>96</v>
      </c>
      <c r="D35">
        <v>100</v>
      </c>
      <c r="E35">
        <v>20</v>
      </c>
      <c r="F35" s="6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2F74-0F33-4CF3-AD4C-CD02A1190779}">
  <dimension ref="A1:K32"/>
  <sheetViews>
    <sheetView tabSelected="1" topLeftCell="C1" workbookViewId="0">
      <selection activeCell="L5" sqref="L5"/>
    </sheetView>
  </sheetViews>
  <sheetFormatPr defaultRowHeight="14.5" x14ac:dyDescent="0.35"/>
  <cols>
    <col min="1" max="1" width="13.54296875" bestFit="1" customWidth="1"/>
    <col min="2" max="2" width="19.90625" bestFit="1" customWidth="1"/>
    <col min="3" max="3" width="14.26953125" bestFit="1" customWidth="1"/>
    <col min="4" max="4" width="15.1796875" bestFit="1" customWidth="1"/>
    <col min="5" max="5" width="13.453125" bestFit="1" customWidth="1"/>
    <col min="6" max="6" width="9.90625" customWidth="1"/>
    <col min="7" max="7" width="10.453125" customWidth="1"/>
    <col min="8" max="8" width="10.54296875" customWidth="1"/>
    <col min="9" max="9" width="10.54296875" bestFit="1" customWidth="1"/>
    <col min="10" max="10" width="8.81640625" bestFit="1" customWidth="1"/>
    <col min="11" max="11" width="12.36328125" bestFit="1" customWidth="1"/>
    <col min="12" max="13" width="10.54296875" customWidth="1"/>
  </cols>
  <sheetData>
    <row r="1" spans="1:11" x14ac:dyDescent="0.35">
      <c r="A1" t="s">
        <v>98</v>
      </c>
      <c r="B1" t="s">
        <v>99</v>
      </c>
      <c r="C1" t="s">
        <v>100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97</v>
      </c>
      <c r="J1" t="s">
        <v>127</v>
      </c>
      <c r="K1" t="s">
        <v>129</v>
      </c>
    </row>
    <row r="2" spans="1:11" x14ac:dyDescent="0.35">
      <c r="A2">
        <v>28</v>
      </c>
      <c r="B2" s="6" t="s">
        <v>101</v>
      </c>
      <c r="C2" s="6" t="s">
        <v>102</v>
      </c>
      <c r="D2" s="6" t="s">
        <v>42</v>
      </c>
      <c r="E2" s="6" t="s">
        <v>8</v>
      </c>
      <c r="F2">
        <v>1000</v>
      </c>
      <c r="G2">
        <v>30</v>
      </c>
      <c r="H2" s="6" t="s">
        <v>9</v>
      </c>
      <c r="I2" t="s">
        <v>103</v>
      </c>
      <c r="J2" t="str">
        <f>Sheet2[[#This Row],[Product ID.1]]&amp;"-"&amp;Sheet2[[#This Row],[Manufacturing date]]</f>
        <v>28-JAN</v>
      </c>
      <c r="K2" t="str">
        <f>Sheet2[[#This Row],[Month]]&amp;"-"&amp;"2016"</f>
        <v>28-JAN-2016</v>
      </c>
    </row>
    <row r="3" spans="1:11" x14ac:dyDescent="0.35">
      <c r="A3">
        <v>15</v>
      </c>
      <c r="B3" s="6" t="s">
        <v>104</v>
      </c>
      <c r="C3" s="6" t="s">
        <v>102</v>
      </c>
      <c r="D3" s="6" t="s">
        <v>11</v>
      </c>
      <c r="E3" s="6" t="s">
        <v>12</v>
      </c>
      <c r="F3">
        <v>80</v>
      </c>
      <c r="G3">
        <v>15</v>
      </c>
      <c r="H3" s="6" t="s">
        <v>13</v>
      </c>
      <c r="I3" t="s">
        <v>103</v>
      </c>
      <c r="J3" t="str">
        <f>Sheet2[[#This Row],[Product ID.1]]&amp;"-"&amp;Sheet2[[#This Row],[Manufacturing date]]</f>
        <v>15-FEB</v>
      </c>
      <c r="K3" t="str">
        <f>Sheet2[[#This Row],[Month]]&amp;"-"&amp;"2016"</f>
        <v>15-FEB-2016</v>
      </c>
    </row>
    <row r="4" spans="1:11" x14ac:dyDescent="0.35">
      <c r="A4">
        <v>3</v>
      </c>
      <c r="B4" s="6" t="s">
        <v>105</v>
      </c>
      <c r="C4" s="6" t="s">
        <v>102</v>
      </c>
      <c r="D4" s="6" t="s">
        <v>15</v>
      </c>
      <c r="E4" s="6" t="s">
        <v>16</v>
      </c>
      <c r="F4">
        <v>130</v>
      </c>
      <c r="G4">
        <v>40</v>
      </c>
      <c r="H4" s="6" t="s">
        <v>17</v>
      </c>
      <c r="I4" t="s">
        <v>103</v>
      </c>
      <c r="J4" t="str">
        <f>Sheet2[[#This Row],[Product ID.1]]&amp;"-"&amp;Sheet2[[#This Row],[Manufacturing date]]</f>
        <v>3-MAR</v>
      </c>
      <c r="K4" t="str">
        <f>Sheet2[[#This Row],[Month]]&amp;"-"&amp;"2016"</f>
        <v>3-MAR-2016</v>
      </c>
    </row>
    <row r="5" spans="1:11" x14ac:dyDescent="0.35">
      <c r="A5">
        <v>11</v>
      </c>
      <c r="B5" s="6" t="s">
        <v>106</v>
      </c>
      <c r="C5" s="6" t="s">
        <v>102</v>
      </c>
      <c r="D5" s="6" t="s">
        <v>77</v>
      </c>
      <c r="E5" s="6" t="s">
        <v>20</v>
      </c>
      <c r="F5">
        <v>900</v>
      </c>
      <c r="G5">
        <v>25</v>
      </c>
      <c r="H5" s="6" t="s">
        <v>9</v>
      </c>
      <c r="I5" t="s">
        <v>103</v>
      </c>
      <c r="J5" t="str">
        <f>Sheet2[[#This Row],[Product ID.1]]&amp;"-"&amp;Sheet2[[#This Row],[Manufacturing date]]</f>
        <v>11-APR</v>
      </c>
      <c r="K5" t="str">
        <f>Sheet2[[#This Row],[Month]]&amp;"-"&amp;"2016"</f>
        <v>11-APR-2016</v>
      </c>
    </row>
    <row r="6" spans="1:11" x14ac:dyDescent="0.35">
      <c r="A6">
        <v>22</v>
      </c>
      <c r="B6" s="6" t="s">
        <v>107</v>
      </c>
      <c r="C6" s="6" t="s">
        <v>102</v>
      </c>
      <c r="D6" s="6" t="s">
        <v>22</v>
      </c>
      <c r="E6" s="6" t="s">
        <v>23</v>
      </c>
      <c r="F6">
        <v>70</v>
      </c>
      <c r="G6">
        <v>20</v>
      </c>
      <c r="H6" s="6" t="s">
        <v>103</v>
      </c>
      <c r="I6" t="s">
        <v>103</v>
      </c>
      <c r="J6" t="str">
        <f>Sheet2[[#This Row],[Product ID.1]]&amp;"-"&amp;Sheet2[[#This Row],[Manufacturing date]]</f>
        <v>22-MAY</v>
      </c>
      <c r="K6" t="str">
        <f>Sheet2[[#This Row],[Month]]&amp;"-"&amp;"2016"</f>
        <v>22-MAY-2016</v>
      </c>
    </row>
    <row r="7" spans="1:11" x14ac:dyDescent="0.35">
      <c r="A7">
        <v>7</v>
      </c>
      <c r="B7" s="6" t="s">
        <v>108</v>
      </c>
      <c r="C7" s="6" t="s">
        <v>109</v>
      </c>
      <c r="D7" s="6" t="s">
        <v>25</v>
      </c>
      <c r="E7" s="6" t="s">
        <v>26</v>
      </c>
      <c r="F7">
        <v>309</v>
      </c>
      <c r="G7">
        <v>45</v>
      </c>
      <c r="H7" s="6" t="s">
        <v>27</v>
      </c>
      <c r="I7" t="s">
        <v>103</v>
      </c>
      <c r="J7" t="str">
        <f>Sheet2[[#This Row],[Product ID.1]]&amp;"-"&amp;Sheet2[[#This Row],[Manufacturing date]]</f>
        <v>7-JUN</v>
      </c>
      <c r="K7" t="str">
        <f>Sheet2[[#This Row],[Month]]&amp;"-"&amp;"2016"</f>
        <v>7-JUN-2016</v>
      </c>
    </row>
    <row r="8" spans="1:11" x14ac:dyDescent="0.35">
      <c r="A8">
        <v>19</v>
      </c>
      <c r="B8" s="6" t="s">
        <v>110</v>
      </c>
      <c r="C8" s="6" t="s">
        <v>109</v>
      </c>
      <c r="D8" s="6" t="s">
        <v>111</v>
      </c>
      <c r="E8" s="6" t="s">
        <v>30</v>
      </c>
      <c r="F8">
        <v>30</v>
      </c>
      <c r="G8">
        <v>5</v>
      </c>
      <c r="H8" s="6" t="s">
        <v>13</v>
      </c>
      <c r="I8" t="s">
        <v>103</v>
      </c>
      <c r="J8" t="str">
        <f>Sheet2[[#This Row],[Product ID.1]]&amp;"-"&amp;Sheet2[[#This Row],[Manufacturing date]]</f>
        <v>19-JUL</v>
      </c>
      <c r="K8" t="str">
        <f>Sheet2[[#This Row],[Month]]&amp;"-"&amp;"2016"</f>
        <v>19-JUL-2016</v>
      </c>
    </row>
    <row r="9" spans="1:11" x14ac:dyDescent="0.35">
      <c r="A9">
        <v>23</v>
      </c>
      <c r="B9" s="6" t="s">
        <v>112</v>
      </c>
      <c r="C9" s="6" t="s">
        <v>109</v>
      </c>
      <c r="D9" s="6" t="s">
        <v>32</v>
      </c>
      <c r="E9" s="6" t="s">
        <v>33</v>
      </c>
      <c r="F9">
        <v>90</v>
      </c>
      <c r="G9">
        <v>35</v>
      </c>
      <c r="H9" s="6" t="s">
        <v>17</v>
      </c>
      <c r="I9" t="s">
        <v>103</v>
      </c>
      <c r="J9" t="str">
        <f>Sheet2[[#This Row],[Product ID.1]]&amp;"-"&amp;Sheet2[[#This Row],[Manufacturing date]]</f>
        <v>23-AUG</v>
      </c>
      <c r="K9" t="str">
        <f>Sheet2[[#This Row],[Month]]&amp;"-"&amp;"2016"</f>
        <v>23-AUG-2016</v>
      </c>
    </row>
    <row r="10" spans="1:11" x14ac:dyDescent="0.35">
      <c r="A10">
        <v>5</v>
      </c>
      <c r="B10" s="6" t="s">
        <v>113</v>
      </c>
      <c r="C10" s="6" t="s">
        <v>109</v>
      </c>
      <c r="D10" s="6" t="s">
        <v>35</v>
      </c>
      <c r="E10" s="6" t="s">
        <v>36</v>
      </c>
      <c r="F10">
        <v>500</v>
      </c>
      <c r="G10">
        <v>50</v>
      </c>
      <c r="H10" s="6" t="s">
        <v>9</v>
      </c>
      <c r="I10" t="s">
        <v>103</v>
      </c>
      <c r="J10" t="str">
        <f>Sheet2[[#This Row],[Product ID.1]]&amp;"-"&amp;Sheet2[[#This Row],[Manufacturing date]]</f>
        <v>5-SEP</v>
      </c>
      <c r="K10" t="str">
        <f>Sheet2[[#This Row],[Month]]&amp;"-"&amp;"2016"</f>
        <v>5-SEP-2016</v>
      </c>
    </row>
    <row r="11" spans="1:11" x14ac:dyDescent="0.35">
      <c r="A11">
        <v>14</v>
      </c>
      <c r="B11" s="6" t="s">
        <v>114</v>
      </c>
      <c r="C11" s="6" t="s">
        <v>109</v>
      </c>
      <c r="D11" s="6" t="s">
        <v>38</v>
      </c>
      <c r="E11" s="6" t="s">
        <v>39</v>
      </c>
      <c r="F11">
        <v>130</v>
      </c>
      <c r="G11">
        <v>10</v>
      </c>
      <c r="H11" s="6" t="s">
        <v>40</v>
      </c>
      <c r="I11" t="s">
        <v>103</v>
      </c>
      <c r="J11" t="str">
        <f>Sheet2[[#This Row],[Product ID.1]]&amp;"-"&amp;Sheet2[[#This Row],[Manufacturing date]]</f>
        <v>14-OCT</v>
      </c>
      <c r="K11" t="str">
        <f>Sheet2[[#This Row],[Month]]&amp;"-"&amp;"2016"</f>
        <v>14-OCT-2016</v>
      </c>
    </row>
    <row r="12" spans="1:11" x14ac:dyDescent="0.35">
      <c r="A12">
        <v>17</v>
      </c>
      <c r="B12" s="6" t="s">
        <v>108</v>
      </c>
      <c r="C12" s="6" t="s">
        <v>115</v>
      </c>
      <c r="D12" s="6" t="s">
        <v>42</v>
      </c>
      <c r="E12" s="6" t="s">
        <v>43</v>
      </c>
      <c r="F12">
        <v>950</v>
      </c>
      <c r="G12">
        <v>25</v>
      </c>
      <c r="H12" s="6" t="s">
        <v>9</v>
      </c>
      <c r="I12" t="s">
        <v>103</v>
      </c>
      <c r="J12" t="str">
        <f>Sheet2[[#This Row],[Product ID.1]]&amp;"-"&amp;Sheet2[[#This Row],[Manufacturing date]]</f>
        <v>17-JUN</v>
      </c>
      <c r="K12" t="str">
        <f>Sheet2[[#This Row],[Month]]&amp;"-"&amp;"2016"</f>
        <v>17-JUN-2016</v>
      </c>
    </row>
    <row r="13" spans="1:11" x14ac:dyDescent="0.35">
      <c r="A13">
        <v>25</v>
      </c>
      <c r="B13" s="6" t="s">
        <v>116</v>
      </c>
      <c r="C13" s="6" t="s">
        <v>117</v>
      </c>
      <c r="D13" s="6" t="s">
        <v>11</v>
      </c>
      <c r="E13" s="6" t="s">
        <v>30</v>
      </c>
      <c r="F13">
        <v>90</v>
      </c>
      <c r="G13">
        <v>40</v>
      </c>
      <c r="H13" s="6" t="s">
        <v>103</v>
      </c>
      <c r="I13" t="s">
        <v>103</v>
      </c>
      <c r="J13" t="str">
        <f>Sheet2[[#This Row],[Product ID.1]]&amp;"-"&amp;Sheet2[[#This Row],[Manufacturing date]]</f>
        <v>25-NOV</v>
      </c>
      <c r="K13" t="str">
        <f>Sheet2[[#This Row],[Month]]&amp;"-"&amp;"2016"</f>
        <v>25-NOV-2016</v>
      </c>
    </row>
    <row r="14" spans="1:11" x14ac:dyDescent="0.35">
      <c r="A14">
        <v>8</v>
      </c>
      <c r="B14" s="6" t="s">
        <v>118</v>
      </c>
      <c r="C14" s="6" t="s">
        <v>119</v>
      </c>
      <c r="D14" s="6" t="s">
        <v>15</v>
      </c>
      <c r="E14" s="6" t="s">
        <v>46</v>
      </c>
      <c r="F14">
        <v>120</v>
      </c>
      <c r="G14">
        <v>35</v>
      </c>
      <c r="H14" s="6" t="s">
        <v>103</v>
      </c>
      <c r="I14" t="s">
        <v>103</v>
      </c>
      <c r="J14" t="str">
        <f>Sheet2[[#This Row],[Product ID.1]]&amp;"-"&amp;Sheet2[[#This Row],[Manufacturing date]]</f>
        <v>8-DEC</v>
      </c>
      <c r="K14" t="str">
        <f>Sheet2[[#This Row],[Month]]&amp;"-"&amp;"2016"</f>
        <v>8-DEC-2016</v>
      </c>
    </row>
    <row r="15" spans="1:11" x14ac:dyDescent="0.35">
      <c r="A15">
        <v>18</v>
      </c>
      <c r="B15" s="6" t="s">
        <v>104</v>
      </c>
      <c r="C15" s="6" t="s">
        <v>120</v>
      </c>
      <c r="D15" s="6" t="s">
        <v>48</v>
      </c>
      <c r="E15" s="6" t="s">
        <v>49</v>
      </c>
      <c r="F15">
        <v>150</v>
      </c>
      <c r="G15">
        <v>15</v>
      </c>
      <c r="H15" s="6" t="s">
        <v>27</v>
      </c>
      <c r="I15" t="s">
        <v>103</v>
      </c>
      <c r="J15" t="str">
        <f>Sheet2[[#This Row],[Product ID.1]]&amp;"-"&amp;Sheet2[[#This Row],[Manufacturing date]]</f>
        <v>18-FEB</v>
      </c>
      <c r="K15" t="str">
        <f>Sheet2[[#This Row],[Month]]&amp;"-"&amp;"2016"</f>
        <v>18-FEB-2016</v>
      </c>
    </row>
    <row r="16" spans="1:11" x14ac:dyDescent="0.35">
      <c r="A16">
        <v>16</v>
      </c>
      <c r="B16" s="6" t="s">
        <v>106</v>
      </c>
      <c r="C16" s="6" t="s">
        <v>121</v>
      </c>
      <c r="D16" s="6" t="s">
        <v>25</v>
      </c>
      <c r="E16" s="6" t="s">
        <v>128</v>
      </c>
      <c r="F16">
        <v>250</v>
      </c>
      <c r="G16">
        <v>20</v>
      </c>
      <c r="H16" s="6" t="s">
        <v>27</v>
      </c>
      <c r="I16" t="s">
        <v>103</v>
      </c>
      <c r="J16" t="str">
        <f>Sheet2[[#This Row],[Product ID.1]]&amp;"-"&amp;Sheet2[[#This Row],[Manufacturing date]]</f>
        <v>16-APR</v>
      </c>
      <c r="K16" t="str">
        <f>Sheet2[[#This Row],[Month]]&amp;"-"&amp;"2016"</f>
        <v>16-APR-2016</v>
      </c>
    </row>
    <row r="17" spans="1:11" x14ac:dyDescent="0.35">
      <c r="A17">
        <v>21</v>
      </c>
      <c r="B17" s="6" t="s">
        <v>112</v>
      </c>
      <c r="C17" s="6" t="s">
        <v>120</v>
      </c>
      <c r="D17" s="6" t="s">
        <v>54</v>
      </c>
      <c r="E17" s="6" t="s">
        <v>55</v>
      </c>
      <c r="F17">
        <v>50</v>
      </c>
      <c r="G17">
        <v>35</v>
      </c>
      <c r="H17" s="6" t="s">
        <v>56</v>
      </c>
      <c r="I17" t="s">
        <v>103</v>
      </c>
      <c r="J17" t="str">
        <f>Sheet2[[#This Row],[Product ID.1]]&amp;"-"&amp;Sheet2[[#This Row],[Manufacturing date]]</f>
        <v>21-AUG</v>
      </c>
      <c r="K17" t="str">
        <f>Sheet2[[#This Row],[Month]]&amp;"-"&amp;"2016"</f>
        <v>21-AUG-2016</v>
      </c>
    </row>
    <row r="18" spans="1:11" x14ac:dyDescent="0.35">
      <c r="A18">
        <v>20</v>
      </c>
      <c r="B18" s="6" t="s">
        <v>112</v>
      </c>
      <c r="C18" s="6" t="s">
        <v>122</v>
      </c>
      <c r="D18" s="6" t="s">
        <v>48</v>
      </c>
      <c r="E18" s="6" t="s">
        <v>58</v>
      </c>
      <c r="F18">
        <v>160</v>
      </c>
      <c r="G18">
        <v>15</v>
      </c>
      <c r="H18" s="6" t="s">
        <v>27</v>
      </c>
      <c r="I18" t="s">
        <v>103</v>
      </c>
      <c r="J18" t="str">
        <f>Sheet2[[#This Row],[Product ID.1]]&amp;"-"&amp;Sheet2[[#This Row],[Manufacturing date]]</f>
        <v>20-AUG</v>
      </c>
      <c r="K18" t="str">
        <f>Sheet2[[#This Row],[Month]]&amp;"-"&amp;"2016"</f>
        <v>20-AUG-2016</v>
      </c>
    </row>
    <row r="19" spans="1:11" x14ac:dyDescent="0.35">
      <c r="A19">
        <v>27</v>
      </c>
      <c r="B19" s="6" t="s">
        <v>101</v>
      </c>
      <c r="C19" s="6" t="s">
        <v>123</v>
      </c>
      <c r="D19" s="6" t="s">
        <v>42</v>
      </c>
      <c r="E19" s="6" t="s">
        <v>60</v>
      </c>
      <c r="F19">
        <v>980</v>
      </c>
      <c r="G19">
        <v>10</v>
      </c>
      <c r="H19" s="6" t="s">
        <v>9</v>
      </c>
      <c r="I19" t="s">
        <v>103</v>
      </c>
      <c r="J19" t="str">
        <f>Sheet2[[#This Row],[Product ID.1]]&amp;"-"&amp;Sheet2[[#This Row],[Manufacturing date]]</f>
        <v>27-JAN</v>
      </c>
      <c r="K19" t="str">
        <f>Sheet2[[#This Row],[Month]]&amp;"-"&amp;"2016"</f>
        <v>27-JAN-2016</v>
      </c>
    </row>
    <row r="20" spans="1:11" x14ac:dyDescent="0.35">
      <c r="A20">
        <v>1</v>
      </c>
      <c r="B20" s="6" t="s">
        <v>105</v>
      </c>
      <c r="C20" s="6" t="s">
        <v>109</v>
      </c>
      <c r="D20" s="6" t="s">
        <v>62</v>
      </c>
      <c r="E20" s="6" t="s">
        <v>63</v>
      </c>
      <c r="F20">
        <v>150</v>
      </c>
      <c r="G20">
        <v>15</v>
      </c>
      <c r="H20" s="6" t="s">
        <v>13</v>
      </c>
      <c r="I20" t="s">
        <v>103</v>
      </c>
      <c r="J20" t="str">
        <f>Sheet2[[#This Row],[Product ID.1]]&amp;"-"&amp;Sheet2[[#This Row],[Manufacturing date]]</f>
        <v>1-MAR</v>
      </c>
      <c r="K20" t="str">
        <f>Sheet2[[#This Row],[Month]]&amp;"-"&amp;"2016"</f>
        <v>1-MAR-2016</v>
      </c>
    </row>
    <row r="21" spans="1:11" x14ac:dyDescent="0.35">
      <c r="A21">
        <v>14</v>
      </c>
      <c r="B21" s="6" t="s">
        <v>112</v>
      </c>
      <c r="C21" s="6" t="s">
        <v>102</v>
      </c>
      <c r="D21" s="6" t="s">
        <v>65</v>
      </c>
      <c r="E21" s="6" t="s">
        <v>66</v>
      </c>
      <c r="F21">
        <v>309</v>
      </c>
      <c r="G21">
        <v>10</v>
      </c>
      <c r="H21" s="6" t="s">
        <v>40</v>
      </c>
      <c r="I21" t="s">
        <v>103</v>
      </c>
      <c r="J21" t="str">
        <f>Sheet2[[#This Row],[Product ID.1]]&amp;"-"&amp;Sheet2[[#This Row],[Manufacturing date]]</f>
        <v>14-AUG</v>
      </c>
      <c r="K21" t="str">
        <f>Sheet2[[#This Row],[Month]]&amp;"-"&amp;"2016"</f>
        <v>14-AUG-2016</v>
      </c>
    </row>
    <row r="22" spans="1:11" x14ac:dyDescent="0.35">
      <c r="A22">
        <v>14</v>
      </c>
      <c r="B22" s="6" t="s">
        <v>107</v>
      </c>
      <c r="C22" s="6" t="s">
        <v>124</v>
      </c>
      <c r="D22" s="6" t="s">
        <v>68</v>
      </c>
      <c r="E22" s="6" t="s">
        <v>69</v>
      </c>
      <c r="F22">
        <v>700</v>
      </c>
      <c r="G22">
        <v>50</v>
      </c>
      <c r="H22" s="6" t="s">
        <v>9</v>
      </c>
      <c r="I22" t="s">
        <v>103</v>
      </c>
      <c r="J22" t="str">
        <f>Sheet2[[#This Row],[Product ID.1]]&amp;"-"&amp;Sheet2[[#This Row],[Manufacturing date]]</f>
        <v>14-MAY</v>
      </c>
      <c r="K22" t="str">
        <f>Sheet2[[#This Row],[Month]]&amp;"-"&amp;"2016"</f>
        <v>14-MAY-2016</v>
      </c>
    </row>
    <row r="23" spans="1:11" x14ac:dyDescent="0.35">
      <c r="A23">
        <v>9</v>
      </c>
      <c r="B23" s="6" t="s">
        <v>101</v>
      </c>
      <c r="C23" s="6" t="s">
        <v>120</v>
      </c>
      <c r="D23" s="6" t="s">
        <v>71</v>
      </c>
      <c r="E23" s="6" t="s">
        <v>72</v>
      </c>
      <c r="F23">
        <v>80</v>
      </c>
      <c r="G23">
        <v>20</v>
      </c>
      <c r="H23" s="6" t="s">
        <v>17</v>
      </c>
      <c r="I23" t="s">
        <v>103</v>
      </c>
      <c r="J23" t="str">
        <f>Sheet2[[#This Row],[Product ID.1]]&amp;"-"&amp;Sheet2[[#This Row],[Manufacturing date]]</f>
        <v>9-JAN</v>
      </c>
      <c r="K23" t="str">
        <f>Sheet2[[#This Row],[Month]]&amp;"-"&amp;"2016"</f>
        <v>9-JAN-2016</v>
      </c>
    </row>
    <row r="24" spans="1:11" x14ac:dyDescent="0.35">
      <c r="A24">
        <v>19</v>
      </c>
      <c r="B24" s="6" t="s">
        <v>110</v>
      </c>
      <c r="C24" s="6" t="s">
        <v>125</v>
      </c>
      <c r="D24" s="6" t="s">
        <v>74</v>
      </c>
      <c r="E24" s="6" t="s">
        <v>75</v>
      </c>
      <c r="F24">
        <v>150</v>
      </c>
      <c r="G24">
        <v>30</v>
      </c>
      <c r="H24" s="6" t="s">
        <v>103</v>
      </c>
      <c r="I24" t="s">
        <v>103</v>
      </c>
      <c r="J24" t="str">
        <f>Sheet2[[#This Row],[Product ID.1]]&amp;"-"&amp;Sheet2[[#This Row],[Manufacturing date]]</f>
        <v>19-JUL</v>
      </c>
      <c r="K24" t="str">
        <f>Sheet2[[#This Row],[Month]]&amp;"-"&amp;"2016"</f>
        <v>19-JUL-2016</v>
      </c>
    </row>
    <row r="25" spans="1:11" x14ac:dyDescent="0.35">
      <c r="A25">
        <v>29</v>
      </c>
      <c r="B25" s="6" t="s">
        <v>113</v>
      </c>
      <c r="C25" s="6" t="s">
        <v>120</v>
      </c>
      <c r="D25" s="6" t="s">
        <v>77</v>
      </c>
      <c r="E25" s="6" t="s">
        <v>78</v>
      </c>
      <c r="F25">
        <v>800</v>
      </c>
      <c r="G25">
        <v>45</v>
      </c>
      <c r="H25" s="6" t="s">
        <v>9</v>
      </c>
      <c r="I25" t="s">
        <v>103</v>
      </c>
      <c r="J25" t="str">
        <f>Sheet2[[#This Row],[Product ID.1]]&amp;"-"&amp;Sheet2[[#This Row],[Manufacturing date]]</f>
        <v>29-SEP</v>
      </c>
      <c r="K25" t="str">
        <f>Sheet2[[#This Row],[Month]]&amp;"-"&amp;"2016"</f>
        <v>29-SEP-2016</v>
      </c>
    </row>
    <row r="26" spans="1:11" x14ac:dyDescent="0.35">
      <c r="A26">
        <v>3</v>
      </c>
      <c r="B26" s="6" t="s">
        <v>108</v>
      </c>
      <c r="C26" s="6" t="s">
        <v>120</v>
      </c>
      <c r="D26" s="6" t="s">
        <v>62</v>
      </c>
      <c r="E26" s="6" t="s">
        <v>80</v>
      </c>
      <c r="F26">
        <v>309</v>
      </c>
      <c r="G26">
        <v>25</v>
      </c>
      <c r="H26" s="6" t="s">
        <v>13</v>
      </c>
      <c r="I26" t="s">
        <v>103</v>
      </c>
      <c r="J26" t="str">
        <f>Sheet2[[#This Row],[Product ID.1]]&amp;"-"&amp;Sheet2[[#This Row],[Manufacturing date]]</f>
        <v>3-JUN</v>
      </c>
      <c r="K26" t="str">
        <f>Sheet2[[#This Row],[Month]]&amp;"-"&amp;"2016"</f>
        <v>3-JUN-2016</v>
      </c>
    </row>
    <row r="27" spans="1:11" x14ac:dyDescent="0.35">
      <c r="A27">
        <v>11</v>
      </c>
      <c r="B27" s="6" t="s">
        <v>110</v>
      </c>
      <c r="C27" s="6" t="s">
        <v>120</v>
      </c>
      <c r="D27" s="6" t="s">
        <v>32</v>
      </c>
      <c r="E27" s="6" t="s">
        <v>82</v>
      </c>
      <c r="F27">
        <v>400</v>
      </c>
      <c r="G27">
        <v>40</v>
      </c>
      <c r="H27" s="6" t="s">
        <v>17</v>
      </c>
      <c r="I27" t="s">
        <v>103</v>
      </c>
      <c r="J27" t="str">
        <f>Sheet2[[#This Row],[Product ID.1]]&amp;"-"&amp;Sheet2[[#This Row],[Manufacturing date]]</f>
        <v>11-JUL</v>
      </c>
      <c r="K27" t="str">
        <f>Sheet2[[#This Row],[Month]]&amp;"-"&amp;"2016"</f>
        <v>11-JUL-2016</v>
      </c>
    </row>
    <row r="28" spans="1:11" x14ac:dyDescent="0.35">
      <c r="A28">
        <v>7</v>
      </c>
      <c r="B28" s="6" t="s">
        <v>105</v>
      </c>
      <c r="C28" s="6" t="s">
        <v>120</v>
      </c>
      <c r="D28" s="6" t="s">
        <v>84</v>
      </c>
      <c r="E28" s="6" t="s">
        <v>85</v>
      </c>
      <c r="F28">
        <v>60</v>
      </c>
      <c r="G28">
        <v>30</v>
      </c>
      <c r="H28" s="6" t="s">
        <v>13</v>
      </c>
      <c r="I28" t="s">
        <v>103</v>
      </c>
      <c r="J28" t="str">
        <f>Sheet2[[#This Row],[Product ID.1]]&amp;"-"&amp;Sheet2[[#This Row],[Manufacturing date]]</f>
        <v>7-MAR</v>
      </c>
      <c r="K28" t="str">
        <f>Sheet2[[#This Row],[Month]]&amp;"-"&amp;"2016"</f>
        <v>7-MAR-2016</v>
      </c>
    </row>
    <row r="29" spans="1:11" x14ac:dyDescent="0.35">
      <c r="A29">
        <v>13</v>
      </c>
      <c r="B29" s="6" t="s">
        <v>106</v>
      </c>
      <c r="C29" s="6" t="s">
        <v>120</v>
      </c>
      <c r="D29" s="6" t="s">
        <v>87</v>
      </c>
      <c r="E29" s="6" t="s">
        <v>88</v>
      </c>
      <c r="F29">
        <v>40</v>
      </c>
      <c r="G29">
        <v>10</v>
      </c>
      <c r="H29" s="6" t="s">
        <v>17</v>
      </c>
      <c r="I29" t="s">
        <v>103</v>
      </c>
      <c r="J29" t="str">
        <f>Sheet2[[#This Row],[Product ID.1]]&amp;"-"&amp;Sheet2[[#This Row],[Manufacturing date]]</f>
        <v>13-APR</v>
      </c>
      <c r="K29" t="str">
        <f>Sheet2[[#This Row],[Month]]&amp;"-"&amp;"2016"</f>
        <v>13-APR-2016</v>
      </c>
    </row>
    <row r="30" spans="1:11" x14ac:dyDescent="0.35">
      <c r="A30">
        <v>24</v>
      </c>
      <c r="B30" s="6" t="s">
        <v>107</v>
      </c>
      <c r="C30" s="6" t="s">
        <v>120</v>
      </c>
      <c r="D30" s="6" t="s">
        <v>74</v>
      </c>
      <c r="E30" s="6" t="s">
        <v>90</v>
      </c>
      <c r="F30">
        <v>130</v>
      </c>
      <c r="G30">
        <v>5</v>
      </c>
      <c r="H30" s="6" t="s">
        <v>9</v>
      </c>
      <c r="I30" t="s">
        <v>103</v>
      </c>
      <c r="J30" t="str">
        <f>Sheet2[[#This Row],[Product ID.1]]&amp;"-"&amp;Sheet2[[#This Row],[Manufacturing date]]</f>
        <v>24-MAY</v>
      </c>
      <c r="K30" t="str">
        <f>Sheet2[[#This Row],[Month]]&amp;"-"&amp;"2016"</f>
        <v>24-MAY-2016</v>
      </c>
    </row>
    <row r="31" spans="1:11" x14ac:dyDescent="0.35">
      <c r="A31">
        <v>2</v>
      </c>
      <c r="B31" s="6" t="s">
        <v>118</v>
      </c>
      <c r="C31" s="6" t="s">
        <v>120</v>
      </c>
      <c r="D31" s="6" t="s">
        <v>92</v>
      </c>
      <c r="E31" s="6" t="s">
        <v>93</v>
      </c>
      <c r="F31">
        <v>50</v>
      </c>
      <c r="G31">
        <v>50</v>
      </c>
      <c r="H31" s="6" t="s">
        <v>13</v>
      </c>
      <c r="I31" t="s">
        <v>103</v>
      </c>
      <c r="J31" t="str">
        <f>Sheet2[[#This Row],[Product ID.1]]&amp;"-"&amp;Sheet2[[#This Row],[Manufacturing date]]</f>
        <v>2-DEC</v>
      </c>
      <c r="K31" t="str">
        <f>Sheet2[[#This Row],[Month]]&amp;"-"&amp;"2016"</f>
        <v>2-DEC-2016</v>
      </c>
    </row>
    <row r="32" spans="1:11" x14ac:dyDescent="0.35">
      <c r="A32">
        <v>9</v>
      </c>
      <c r="B32" s="6" t="s">
        <v>110</v>
      </c>
      <c r="C32" s="6" t="s">
        <v>126</v>
      </c>
      <c r="D32" s="6" t="s">
        <v>95</v>
      </c>
      <c r="E32" s="6" t="s">
        <v>96</v>
      </c>
      <c r="F32">
        <v>100</v>
      </c>
      <c r="G32">
        <v>20</v>
      </c>
      <c r="H32" s="6" t="s">
        <v>56</v>
      </c>
      <c r="I32" t="s">
        <v>103</v>
      </c>
      <c r="J32" t="str">
        <f>Sheet2[[#This Row],[Product ID.1]]&amp;"-"&amp;Sheet2[[#This Row],[Manufacturing date]]</f>
        <v>9-JUL</v>
      </c>
      <c r="K32" t="str">
        <f>Sheet2[[#This Row],[Month]]&amp;"-"&amp;"2016"</f>
        <v>9-JUL-2016</v>
      </c>
    </row>
  </sheetData>
  <phoneticPr fontId="3" type="noConversion"/>
  <conditionalFormatting sqref="F2:F3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{1DBE5798-3D72-4A30-B25D-7DE2E0EF0998}</x14:id>
        </ext>
      </extLst>
    </cfRule>
  </conditionalFormatting>
  <conditionalFormatting sqref="H1:H1048576">
    <cfRule type="containsText" dxfId="0" priority="1" operator="containsText" text="Electronics">
      <formula>NOT(ISERROR(SEARCH("Electronics",H1)))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BE5798-3D72-4A30-B25D-7DE2E0EF09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2213-3B63-4C8E-BF82-1862D09235C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E1B6-7A6B-468A-848D-26C6261D46C8}">
  <dimension ref="A1:G35"/>
  <sheetViews>
    <sheetView workbookViewId="0">
      <selection activeCell="D9" sqref="D9"/>
    </sheetView>
  </sheetViews>
  <sheetFormatPr defaultRowHeight="14.5" x14ac:dyDescent="0.35"/>
  <sheetData>
    <row r="1" spans="1:7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26.5" thickBot="1" x14ac:dyDescent="0.4">
      <c r="A2" s="2" t="s">
        <v>6</v>
      </c>
      <c r="B2" s="2" t="s">
        <v>7</v>
      </c>
      <c r="C2" s="2" t="s">
        <v>8</v>
      </c>
      <c r="D2" s="3">
        <v>1000</v>
      </c>
      <c r="E2" s="3">
        <v>30</v>
      </c>
      <c r="F2" s="2" t="s">
        <v>9</v>
      </c>
      <c r="G2" s="2"/>
    </row>
    <row r="3" spans="1:7" ht="26.5" thickBot="1" x14ac:dyDescent="0.4">
      <c r="A3" s="4" t="s">
        <v>10</v>
      </c>
      <c r="B3" s="4" t="s">
        <v>11</v>
      </c>
      <c r="C3" s="4" t="s">
        <v>12</v>
      </c>
      <c r="D3" s="5">
        <v>80</v>
      </c>
      <c r="E3" s="5">
        <v>15</v>
      </c>
      <c r="F3" s="4" t="s">
        <v>13</v>
      </c>
      <c r="G3" s="2"/>
    </row>
    <row r="4" spans="1:7" ht="26.5" thickBot="1" x14ac:dyDescent="0.4">
      <c r="A4" s="2" t="s">
        <v>14</v>
      </c>
      <c r="B4" s="2" t="s">
        <v>15</v>
      </c>
      <c r="C4" s="2" t="s">
        <v>16</v>
      </c>
      <c r="D4" s="3">
        <v>130</v>
      </c>
      <c r="E4" s="3">
        <v>40</v>
      </c>
      <c r="F4" s="2" t="s">
        <v>17</v>
      </c>
      <c r="G4" s="2"/>
    </row>
    <row r="5" spans="1:7" ht="26.5" thickBot="1" x14ac:dyDescent="0.4">
      <c r="A5" s="4" t="s">
        <v>18</v>
      </c>
      <c r="B5" s="4" t="s">
        <v>19</v>
      </c>
      <c r="C5" s="4" t="s">
        <v>20</v>
      </c>
      <c r="D5" s="5">
        <v>900</v>
      </c>
      <c r="E5" s="5">
        <v>25</v>
      </c>
      <c r="F5" s="4" t="s">
        <v>9</v>
      </c>
      <c r="G5" s="2"/>
    </row>
    <row r="6" spans="1:7" ht="26.5" thickBot="1" x14ac:dyDescent="0.4">
      <c r="A6" s="2" t="s">
        <v>21</v>
      </c>
      <c r="B6" s="2" t="s">
        <v>22</v>
      </c>
      <c r="C6" s="2" t="s">
        <v>23</v>
      </c>
      <c r="D6" s="3">
        <v>70</v>
      </c>
      <c r="E6" s="3">
        <v>20</v>
      </c>
      <c r="F6" s="2"/>
      <c r="G6" s="2"/>
    </row>
    <row r="7" spans="1:7" ht="26.5" thickBot="1" x14ac:dyDescent="0.4">
      <c r="A7" s="4" t="s">
        <v>24</v>
      </c>
      <c r="B7" s="4" t="s">
        <v>25</v>
      </c>
      <c r="C7" s="4" t="s">
        <v>26</v>
      </c>
      <c r="D7" s="4"/>
      <c r="E7" s="5">
        <v>45</v>
      </c>
      <c r="F7" s="4" t="s">
        <v>27</v>
      </c>
      <c r="G7" s="2"/>
    </row>
    <row r="8" spans="1:7" ht="26.5" thickBot="1" x14ac:dyDescent="0.4">
      <c r="A8" s="2" t="s">
        <v>28</v>
      </c>
      <c r="B8" s="2" t="s">
        <v>29</v>
      </c>
      <c r="C8" s="2" t="s">
        <v>30</v>
      </c>
      <c r="D8" s="3">
        <v>30</v>
      </c>
      <c r="E8" s="3">
        <v>5</v>
      </c>
      <c r="F8" s="2" t="s">
        <v>13</v>
      </c>
      <c r="G8" s="2"/>
    </row>
    <row r="9" spans="1:7" ht="26.5" thickBot="1" x14ac:dyDescent="0.4">
      <c r="A9" s="4" t="s">
        <v>31</v>
      </c>
      <c r="B9" s="4" t="s">
        <v>32</v>
      </c>
      <c r="C9" s="4" t="s">
        <v>33</v>
      </c>
      <c r="D9" s="5">
        <v>90</v>
      </c>
      <c r="E9" s="5">
        <v>35</v>
      </c>
      <c r="F9" s="4" t="s">
        <v>17</v>
      </c>
      <c r="G9" s="2"/>
    </row>
    <row r="10" spans="1:7" ht="26.5" thickBot="1" x14ac:dyDescent="0.4">
      <c r="A10" s="2" t="s">
        <v>34</v>
      </c>
      <c r="B10" s="2" t="s">
        <v>35</v>
      </c>
      <c r="C10" s="2" t="s">
        <v>36</v>
      </c>
      <c r="D10" s="3">
        <v>500</v>
      </c>
      <c r="E10" s="3">
        <v>50</v>
      </c>
      <c r="F10" s="2" t="s">
        <v>9</v>
      </c>
      <c r="G10" s="2"/>
    </row>
    <row r="11" spans="1:7" ht="26.5" thickBot="1" x14ac:dyDescent="0.4">
      <c r="A11" s="4" t="s">
        <v>37</v>
      </c>
      <c r="B11" s="4" t="s">
        <v>38</v>
      </c>
      <c r="C11" s="4" t="s">
        <v>39</v>
      </c>
      <c r="D11" s="5">
        <v>130</v>
      </c>
      <c r="E11" s="5">
        <v>10</v>
      </c>
      <c r="F11" s="4" t="s">
        <v>40</v>
      </c>
      <c r="G11" s="2"/>
    </row>
    <row r="12" spans="1:7" ht="26.5" thickBot="1" x14ac:dyDescent="0.4">
      <c r="A12" s="2" t="s">
        <v>41</v>
      </c>
      <c r="B12" s="2" t="s">
        <v>42</v>
      </c>
      <c r="C12" s="2" t="s">
        <v>43</v>
      </c>
      <c r="D12" s="3">
        <v>950</v>
      </c>
      <c r="E12" s="3">
        <v>25</v>
      </c>
      <c r="F12" s="2" t="s">
        <v>9</v>
      </c>
      <c r="G12" s="2"/>
    </row>
    <row r="13" spans="1:7" ht="26.5" thickBot="1" x14ac:dyDescent="0.4">
      <c r="A13" s="4" t="s">
        <v>44</v>
      </c>
      <c r="B13" s="4" t="s">
        <v>11</v>
      </c>
      <c r="C13" s="4" t="s">
        <v>30</v>
      </c>
      <c r="D13" s="5">
        <v>90</v>
      </c>
      <c r="E13" s="5">
        <v>40</v>
      </c>
      <c r="F13" s="4"/>
      <c r="G13" s="2"/>
    </row>
    <row r="14" spans="1:7" ht="26.5" thickBot="1" x14ac:dyDescent="0.4">
      <c r="A14" s="2" t="s">
        <v>45</v>
      </c>
      <c r="B14" s="2" t="s">
        <v>15</v>
      </c>
      <c r="C14" s="2" t="s">
        <v>46</v>
      </c>
      <c r="D14" s="3">
        <v>120</v>
      </c>
      <c r="E14" s="3">
        <v>35</v>
      </c>
      <c r="F14" s="2"/>
      <c r="G14" s="2"/>
    </row>
    <row r="15" spans="1:7" ht="26.5" thickBot="1" x14ac:dyDescent="0.4">
      <c r="A15" s="4" t="s">
        <v>47</v>
      </c>
      <c r="B15" s="4" t="s">
        <v>48</v>
      </c>
      <c r="C15" s="4" t="s">
        <v>49</v>
      </c>
      <c r="D15" s="5">
        <v>150</v>
      </c>
      <c r="E15" s="5">
        <v>15</v>
      </c>
      <c r="F15" s="4" t="s">
        <v>27</v>
      </c>
      <c r="G15" s="2"/>
    </row>
    <row r="16" spans="1:7" ht="26.5" thickBot="1" x14ac:dyDescent="0.4">
      <c r="A16" s="2" t="s">
        <v>50</v>
      </c>
      <c r="B16" s="2" t="s">
        <v>51</v>
      </c>
      <c r="C16" s="2" t="s">
        <v>52</v>
      </c>
      <c r="D16" s="3">
        <v>250</v>
      </c>
      <c r="E16" s="3">
        <v>20</v>
      </c>
      <c r="F16" s="2" t="s">
        <v>27</v>
      </c>
      <c r="G16" s="2"/>
    </row>
    <row r="17" spans="1:7" ht="26.5" thickBot="1" x14ac:dyDescent="0.4">
      <c r="A17" s="4" t="s">
        <v>53</v>
      </c>
      <c r="B17" s="4" t="s">
        <v>54</v>
      </c>
      <c r="C17" s="4" t="s">
        <v>55</v>
      </c>
      <c r="D17" s="5">
        <v>50</v>
      </c>
      <c r="E17" s="5">
        <v>35</v>
      </c>
      <c r="F17" s="4" t="s">
        <v>56</v>
      </c>
      <c r="G17" s="2"/>
    </row>
    <row r="18" spans="1:7" ht="26.5" thickBot="1" x14ac:dyDescent="0.4">
      <c r="A18" s="2" t="s">
        <v>57</v>
      </c>
      <c r="B18" s="2" t="s">
        <v>48</v>
      </c>
      <c r="C18" s="2" t="s">
        <v>58</v>
      </c>
      <c r="D18" s="3">
        <v>160</v>
      </c>
      <c r="E18" s="3">
        <v>15</v>
      </c>
      <c r="F18" s="2" t="s">
        <v>27</v>
      </c>
      <c r="G18" s="2"/>
    </row>
    <row r="19" spans="1:7" ht="26.5" thickBot="1" x14ac:dyDescent="0.4">
      <c r="A19" s="4" t="s">
        <v>59</v>
      </c>
      <c r="B19" s="4" t="s">
        <v>7</v>
      </c>
      <c r="C19" s="4" t="s">
        <v>60</v>
      </c>
      <c r="D19" s="5">
        <v>980</v>
      </c>
      <c r="E19" s="5">
        <v>10</v>
      </c>
      <c r="F19" s="4" t="s">
        <v>9</v>
      </c>
      <c r="G19" s="2"/>
    </row>
    <row r="20" spans="1:7" ht="26.5" thickBot="1" x14ac:dyDescent="0.4">
      <c r="A20" s="2" t="s">
        <v>61</v>
      </c>
      <c r="B20" s="2" t="s">
        <v>62</v>
      </c>
      <c r="C20" s="2" t="s">
        <v>63</v>
      </c>
      <c r="D20" s="3">
        <v>150</v>
      </c>
      <c r="E20" s="3">
        <v>15</v>
      </c>
      <c r="F20" s="2" t="s">
        <v>13</v>
      </c>
      <c r="G20" s="2"/>
    </row>
    <row r="21" spans="1:7" ht="26.5" thickBot="1" x14ac:dyDescent="0.4">
      <c r="A21" s="4" t="s">
        <v>64</v>
      </c>
      <c r="B21" s="4" t="s">
        <v>65</v>
      </c>
      <c r="C21" s="4" t="s">
        <v>66</v>
      </c>
      <c r="D21" s="4"/>
      <c r="E21" s="5">
        <v>10</v>
      </c>
      <c r="F21" s="4" t="s">
        <v>40</v>
      </c>
      <c r="G21" s="2"/>
    </row>
    <row r="22" spans="1:7" ht="26.5" thickBot="1" x14ac:dyDescent="0.4">
      <c r="A22" s="2" t="s">
        <v>67</v>
      </c>
      <c r="B22" s="2" t="s">
        <v>68</v>
      </c>
      <c r="C22" s="2" t="s">
        <v>69</v>
      </c>
      <c r="D22" s="3">
        <v>700</v>
      </c>
      <c r="E22" s="3">
        <v>50</v>
      </c>
      <c r="F22" s="2" t="s">
        <v>9</v>
      </c>
      <c r="G22" s="2"/>
    </row>
    <row r="23" spans="1:7" ht="26.5" thickBot="1" x14ac:dyDescent="0.4">
      <c r="A23" s="4" t="s">
        <v>70</v>
      </c>
      <c r="B23" s="4" t="s">
        <v>71</v>
      </c>
      <c r="C23" s="4" t="s">
        <v>72</v>
      </c>
      <c r="D23" s="5">
        <v>80</v>
      </c>
      <c r="E23" s="5">
        <v>20</v>
      </c>
      <c r="F23" s="4" t="s">
        <v>17</v>
      </c>
      <c r="G23" s="2"/>
    </row>
    <row r="24" spans="1:7" ht="26.5" thickBot="1" x14ac:dyDescent="0.4">
      <c r="A24" s="2" t="s">
        <v>73</v>
      </c>
      <c r="B24" s="2" t="s">
        <v>74</v>
      </c>
      <c r="C24" s="2" t="s">
        <v>75</v>
      </c>
      <c r="D24" s="3">
        <v>150</v>
      </c>
      <c r="E24" s="3">
        <v>30</v>
      </c>
      <c r="F24" s="2"/>
      <c r="G24" s="2"/>
    </row>
    <row r="25" spans="1:7" ht="26.5" thickBot="1" x14ac:dyDescent="0.4">
      <c r="A25" s="4" t="s">
        <v>53</v>
      </c>
      <c r="B25" s="4" t="s">
        <v>54</v>
      </c>
      <c r="C25" s="4" t="s">
        <v>55</v>
      </c>
      <c r="D25" s="5">
        <v>50</v>
      </c>
      <c r="E25" s="5">
        <v>35</v>
      </c>
      <c r="F25" s="4" t="s">
        <v>56</v>
      </c>
      <c r="G25" s="2"/>
    </row>
    <row r="26" spans="1:7" ht="26.5" thickBot="1" x14ac:dyDescent="0.4">
      <c r="A26" s="2" t="s">
        <v>76</v>
      </c>
      <c r="B26" s="2" t="s">
        <v>77</v>
      </c>
      <c r="C26" s="2" t="s">
        <v>78</v>
      </c>
      <c r="D26" s="3">
        <v>800</v>
      </c>
      <c r="E26" s="3">
        <v>45</v>
      </c>
      <c r="F26" s="2" t="s">
        <v>9</v>
      </c>
      <c r="G26" s="2"/>
    </row>
    <row r="27" spans="1:7" ht="26.5" thickBot="1" x14ac:dyDescent="0.4">
      <c r="A27" s="4" t="s">
        <v>79</v>
      </c>
      <c r="B27" s="4" t="s">
        <v>62</v>
      </c>
      <c r="C27" s="4" t="s">
        <v>80</v>
      </c>
      <c r="D27" s="4"/>
      <c r="E27" s="5">
        <v>25</v>
      </c>
      <c r="F27" s="4" t="s">
        <v>13</v>
      </c>
      <c r="G27" s="2"/>
    </row>
    <row r="28" spans="1:7" ht="26.5" thickBot="1" x14ac:dyDescent="0.4">
      <c r="A28" s="2" t="s">
        <v>81</v>
      </c>
      <c r="B28" s="2" t="s">
        <v>32</v>
      </c>
      <c r="C28" s="2" t="s">
        <v>82</v>
      </c>
      <c r="D28" s="3">
        <v>400</v>
      </c>
      <c r="E28" s="3">
        <v>40</v>
      </c>
      <c r="F28" s="2" t="s">
        <v>17</v>
      </c>
      <c r="G28" s="2"/>
    </row>
    <row r="29" spans="1:7" ht="26.5" thickBot="1" x14ac:dyDescent="0.4">
      <c r="A29" s="4" t="s">
        <v>50</v>
      </c>
      <c r="B29" s="4" t="s">
        <v>51</v>
      </c>
      <c r="C29" s="4" t="s">
        <v>52</v>
      </c>
      <c r="D29" s="5">
        <v>250</v>
      </c>
      <c r="E29" s="5">
        <v>20</v>
      </c>
      <c r="F29" s="4" t="s">
        <v>27</v>
      </c>
      <c r="G29" s="2"/>
    </row>
    <row r="30" spans="1:7" ht="26.5" thickBot="1" x14ac:dyDescent="0.4">
      <c r="A30" s="2" t="s">
        <v>83</v>
      </c>
      <c r="B30" s="2" t="s">
        <v>84</v>
      </c>
      <c r="C30" s="2" t="s">
        <v>85</v>
      </c>
      <c r="D30" s="3">
        <v>60</v>
      </c>
      <c r="E30" s="3">
        <v>30</v>
      </c>
      <c r="F30" s="2" t="s">
        <v>13</v>
      </c>
      <c r="G30" s="2"/>
    </row>
    <row r="31" spans="1:7" ht="26.5" thickBot="1" x14ac:dyDescent="0.4">
      <c r="A31" s="4" t="s">
        <v>86</v>
      </c>
      <c r="B31" s="4" t="s">
        <v>87</v>
      </c>
      <c r="C31" s="4" t="s">
        <v>88</v>
      </c>
      <c r="D31" s="5">
        <v>40</v>
      </c>
      <c r="E31" s="5">
        <v>10</v>
      </c>
      <c r="F31" s="4" t="s">
        <v>17</v>
      </c>
      <c r="G31" s="2"/>
    </row>
    <row r="32" spans="1:7" ht="26.5" thickBot="1" x14ac:dyDescent="0.4">
      <c r="A32" s="2" t="s">
        <v>89</v>
      </c>
      <c r="B32" s="2" t="s">
        <v>74</v>
      </c>
      <c r="C32" s="2" t="s">
        <v>90</v>
      </c>
      <c r="D32" s="3">
        <v>130</v>
      </c>
      <c r="E32" s="3">
        <v>5</v>
      </c>
      <c r="F32" s="2" t="s">
        <v>9</v>
      </c>
      <c r="G32" s="2"/>
    </row>
    <row r="33" spans="1:7" ht="26.5" thickBot="1" x14ac:dyDescent="0.4">
      <c r="A33" s="4" t="s">
        <v>91</v>
      </c>
      <c r="B33" s="4" t="s">
        <v>92</v>
      </c>
      <c r="C33" s="4" t="s">
        <v>93</v>
      </c>
      <c r="D33" s="5">
        <v>50</v>
      </c>
      <c r="E33" s="5">
        <v>50</v>
      </c>
      <c r="F33" s="4" t="s">
        <v>13</v>
      </c>
      <c r="G33" s="2"/>
    </row>
    <row r="34" spans="1:7" ht="26.5" thickBot="1" x14ac:dyDescent="0.4">
      <c r="A34" s="2" t="s">
        <v>41</v>
      </c>
      <c r="B34" s="2" t="s">
        <v>42</v>
      </c>
      <c r="C34" s="2" t="s">
        <v>43</v>
      </c>
      <c r="D34" s="3">
        <v>950</v>
      </c>
      <c r="E34" s="3">
        <v>25</v>
      </c>
      <c r="F34" s="2" t="s">
        <v>9</v>
      </c>
      <c r="G34" s="2"/>
    </row>
    <row r="35" spans="1:7" ht="26.5" thickBot="1" x14ac:dyDescent="0.4">
      <c r="A35" s="4" t="s">
        <v>94</v>
      </c>
      <c r="B35" s="4" t="s">
        <v>95</v>
      </c>
      <c r="C35" s="4" t="s">
        <v>96</v>
      </c>
      <c r="D35" s="5">
        <v>100</v>
      </c>
      <c r="E35" s="5">
        <v>20</v>
      </c>
      <c r="F35" s="4" t="s">
        <v>56</v>
      </c>
      <c r="G3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5F4BC-B984-495B-A5A0-74AD082FE9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 (3)</vt:lpstr>
      <vt:lpstr>Sheet2 (2)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2026-10-06T16:33:58Z</dcterms:created>
  <dcterms:modified xsi:type="dcterms:W3CDTF">2026-10-07T13:11:19Z</dcterms:modified>
</cp:coreProperties>
</file>